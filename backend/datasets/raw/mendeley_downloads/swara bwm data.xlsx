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CWORK\tekstilandkonf\"/>
    </mc:Choice>
  </mc:AlternateContent>
  <xr:revisionPtr revIDLastSave="0" documentId="8_{00BB6787-DB6D-4DA8-8BCB-F90D0A6573BA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drivers swara" sheetId="1" r:id="rId1"/>
    <sheet name="challenges swara" sheetId="2" r:id="rId2"/>
    <sheet name="bw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3" i="2" l="1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K59" i="2"/>
  <c r="D59" i="2"/>
  <c r="K58" i="2"/>
  <c r="D58" i="2"/>
  <c r="K57" i="2"/>
  <c r="D57" i="2"/>
  <c r="K56" i="2"/>
  <c r="D56" i="2"/>
  <c r="K55" i="2"/>
  <c r="D55" i="2"/>
  <c r="K54" i="2"/>
  <c r="D54" i="2"/>
  <c r="K53" i="2"/>
  <c r="D53" i="2"/>
  <c r="K52" i="2"/>
  <c r="D52" i="2"/>
  <c r="K51" i="2"/>
  <c r="L51" i="2" s="1"/>
  <c r="D51" i="2"/>
  <c r="E51" i="2" s="1"/>
  <c r="R46" i="2"/>
  <c r="K46" i="2"/>
  <c r="D46" i="2"/>
  <c r="R45" i="2"/>
  <c r="K45" i="2"/>
  <c r="D45" i="2"/>
  <c r="R44" i="2"/>
  <c r="K44" i="2"/>
  <c r="D44" i="2"/>
  <c r="R43" i="2"/>
  <c r="K43" i="2"/>
  <c r="D43" i="2"/>
  <c r="R42" i="2"/>
  <c r="K42" i="2"/>
  <c r="D42" i="2"/>
  <c r="R41" i="2"/>
  <c r="K41" i="2"/>
  <c r="D41" i="2"/>
  <c r="R40" i="2"/>
  <c r="K40" i="2"/>
  <c r="D40" i="2"/>
  <c r="R39" i="2"/>
  <c r="K39" i="2"/>
  <c r="D39" i="2"/>
  <c r="R38" i="2"/>
  <c r="S38" i="2" s="1"/>
  <c r="K38" i="2"/>
  <c r="L38" i="2" s="1"/>
  <c r="D38" i="2"/>
  <c r="E38" i="2" s="1"/>
  <c r="H69" i="1"/>
  <c r="H70" i="1"/>
  <c r="H71" i="1"/>
  <c r="H72" i="1"/>
  <c r="H73" i="1"/>
  <c r="H74" i="1"/>
  <c r="H75" i="1"/>
  <c r="H76" i="1"/>
  <c r="H77" i="1"/>
  <c r="H78" i="1"/>
  <c r="H68" i="1"/>
  <c r="G69" i="1"/>
  <c r="G70" i="1"/>
  <c r="G71" i="1"/>
  <c r="G72" i="1"/>
  <c r="G73" i="1"/>
  <c r="G74" i="1"/>
  <c r="G75" i="1"/>
  <c r="G76" i="1"/>
  <c r="G77" i="1"/>
  <c r="G78" i="1"/>
  <c r="G68" i="1"/>
  <c r="R49" i="1"/>
  <c r="R48" i="1"/>
  <c r="R47" i="1"/>
  <c r="R46" i="1"/>
  <c r="R45" i="1"/>
  <c r="R44" i="1"/>
  <c r="R43" i="1"/>
  <c r="R42" i="1"/>
  <c r="R41" i="1"/>
  <c r="R40" i="1"/>
  <c r="S40" i="1" s="1"/>
  <c r="K63" i="1"/>
  <c r="K62" i="1"/>
  <c r="K61" i="1"/>
  <c r="K60" i="1"/>
  <c r="K59" i="1"/>
  <c r="K58" i="1"/>
  <c r="K57" i="1"/>
  <c r="K56" i="1"/>
  <c r="K55" i="1"/>
  <c r="K54" i="1"/>
  <c r="L54" i="1" s="1"/>
  <c r="K49" i="1"/>
  <c r="K48" i="1"/>
  <c r="K47" i="1"/>
  <c r="K46" i="1"/>
  <c r="K45" i="1"/>
  <c r="K44" i="1"/>
  <c r="K43" i="1"/>
  <c r="K42" i="1"/>
  <c r="K41" i="1"/>
  <c r="K40" i="1"/>
  <c r="L40" i="1" s="1"/>
  <c r="D63" i="1"/>
  <c r="D62" i="1"/>
  <c r="D61" i="1"/>
  <c r="D60" i="1"/>
  <c r="D59" i="1"/>
  <c r="D58" i="1"/>
  <c r="D57" i="1"/>
  <c r="D56" i="1"/>
  <c r="D55" i="1"/>
  <c r="D54" i="1"/>
  <c r="E54" i="1" s="1"/>
  <c r="D41" i="1"/>
  <c r="D42" i="1"/>
  <c r="D43" i="1"/>
  <c r="D44" i="1"/>
  <c r="D45" i="1"/>
  <c r="D46" i="1"/>
  <c r="D47" i="1"/>
  <c r="D48" i="1"/>
  <c r="D49" i="1"/>
  <c r="D40" i="1"/>
  <c r="E40" i="1" s="1"/>
  <c r="E39" i="2" l="1"/>
  <c r="E40" i="2" s="1"/>
  <c r="E41" i="2" s="1"/>
  <c r="E42" i="2" s="1"/>
  <c r="S39" i="2"/>
  <c r="L39" i="2"/>
  <c r="E52" i="2"/>
  <c r="L52" i="2"/>
  <c r="L41" i="1"/>
  <c r="L42" i="1" s="1"/>
  <c r="E41" i="1"/>
  <c r="S41" i="1"/>
  <c r="L55" i="1"/>
  <c r="E55" i="1"/>
  <c r="E43" i="2" l="1"/>
  <c r="S40" i="2"/>
  <c r="E53" i="2"/>
  <c r="L53" i="2"/>
  <c r="L40" i="2"/>
  <c r="E42" i="1"/>
  <c r="S42" i="1"/>
  <c r="L56" i="1"/>
  <c r="L43" i="1"/>
  <c r="E56" i="1"/>
  <c r="E54" i="2" l="1"/>
  <c r="L54" i="2"/>
  <c r="L41" i="2"/>
  <c r="E44" i="2"/>
  <c r="S41" i="2"/>
  <c r="E43" i="1"/>
  <c r="S43" i="1"/>
  <c r="L57" i="1"/>
  <c r="L44" i="1"/>
  <c r="E57" i="1"/>
  <c r="L42" i="2" l="1"/>
  <c r="E45" i="2"/>
  <c r="E55" i="2"/>
  <c r="S42" i="2"/>
  <c r="L55" i="2"/>
  <c r="E44" i="1"/>
  <c r="S44" i="1"/>
  <c r="L58" i="1"/>
  <c r="L45" i="1"/>
  <c r="E58" i="1"/>
  <c r="S43" i="2" l="1"/>
  <c r="L43" i="2"/>
  <c r="L56" i="2"/>
  <c r="E46" i="2"/>
  <c r="E56" i="2"/>
  <c r="E45" i="1"/>
  <c r="S45" i="1"/>
  <c r="L59" i="1"/>
  <c r="L46" i="1"/>
  <c r="E59" i="1"/>
  <c r="L57" i="2" l="1"/>
  <c r="S44" i="2"/>
  <c r="E57" i="2"/>
  <c r="L44" i="2"/>
  <c r="E46" i="1"/>
  <c r="S46" i="1"/>
  <c r="L60" i="1"/>
  <c r="L47" i="1"/>
  <c r="E60" i="1"/>
  <c r="S45" i="2" l="1"/>
  <c r="L58" i="2"/>
  <c r="L45" i="2"/>
  <c r="E47" i="2"/>
  <c r="E58" i="2"/>
  <c r="E47" i="1"/>
  <c r="S47" i="1"/>
  <c r="L61" i="1"/>
  <c r="L48" i="1"/>
  <c r="E61" i="1"/>
  <c r="F37" i="2" l="1"/>
  <c r="F38" i="2"/>
  <c r="F39" i="2"/>
  <c r="F40" i="2"/>
  <c r="F41" i="2"/>
  <c r="F42" i="2"/>
  <c r="F43" i="2"/>
  <c r="F44" i="2"/>
  <c r="F45" i="2"/>
  <c r="F46" i="2"/>
  <c r="L59" i="2"/>
  <c r="E59" i="2"/>
  <c r="L46" i="2"/>
  <c r="S46" i="2"/>
  <c r="E48" i="1"/>
  <c r="S48" i="1"/>
  <c r="L62" i="1"/>
  <c r="L49" i="1"/>
  <c r="E62" i="1"/>
  <c r="E49" i="1" l="1"/>
  <c r="S49" i="1"/>
  <c r="L63" i="1"/>
  <c r="L50" i="1"/>
  <c r="M49" i="1" s="1"/>
  <c r="E63" i="1"/>
  <c r="L60" i="2" l="1"/>
  <c r="E60" i="2"/>
  <c r="L47" i="2"/>
  <c r="S47" i="2"/>
  <c r="M39" i="1"/>
  <c r="M40" i="1"/>
  <c r="M41" i="1"/>
  <c r="M42" i="1"/>
  <c r="M43" i="1"/>
  <c r="M44" i="1"/>
  <c r="M45" i="1"/>
  <c r="M46" i="1"/>
  <c r="M47" i="1"/>
  <c r="M48" i="1"/>
  <c r="E50" i="1"/>
  <c r="F49" i="1" s="1"/>
  <c r="S50" i="1"/>
  <c r="T49" i="1" s="1"/>
  <c r="L64" i="1"/>
  <c r="E64" i="1"/>
  <c r="M37" i="2" l="1"/>
  <c r="M38" i="2"/>
  <c r="M39" i="2"/>
  <c r="M40" i="2"/>
  <c r="M41" i="2"/>
  <c r="M42" i="2"/>
  <c r="M43" i="2"/>
  <c r="M44" i="2"/>
  <c r="M45" i="2"/>
  <c r="M46" i="2"/>
  <c r="T37" i="2"/>
  <c r="T38" i="2"/>
  <c r="T39" i="2"/>
  <c r="T40" i="2"/>
  <c r="T41" i="2"/>
  <c r="T42" i="2"/>
  <c r="T43" i="2"/>
  <c r="T44" i="2"/>
  <c r="T45" i="2"/>
  <c r="T46" i="2"/>
  <c r="M50" i="2"/>
  <c r="M51" i="2"/>
  <c r="M52" i="2"/>
  <c r="M53" i="2"/>
  <c r="M54" i="2"/>
  <c r="M55" i="2"/>
  <c r="M56" i="2"/>
  <c r="M57" i="2"/>
  <c r="M58" i="2"/>
  <c r="M59" i="2"/>
  <c r="F50" i="2"/>
  <c r="F51" i="2"/>
  <c r="F52" i="2"/>
  <c r="F53" i="2"/>
  <c r="F54" i="2"/>
  <c r="F55" i="2"/>
  <c r="F56" i="2"/>
  <c r="F57" i="2"/>
  <c r="F58" i="2"/>
  <c r="F59" i="2"/>
  <c r="M53" i="1"/>
  <c r="M54" i="1"/>
  <c r="M55" i="1"/>
  <c r="M56" i="1"/>
  <c r="M57" i="1"/>
  <c r="M58" i="1"/>
  <c r="M59" i="1"/>
  <c r="M60" i="1"/>
  <c r="M61" i="1"/>
  <c r="M62" i="1"/>
  <c r="M63" i="1"/>
  <c r="F53" i="1"/>
  <c r="F54" i="1"/>
  <c r="F55" i="1"/>
  <c r="F56" i="1"/>
  <c r="F57" i="1"/>
  <c r="F58" i="1"/>
  <c r="F59" i="1"/>
  <c r="F60" i="1"/>
  <c r="F61" i="1"/>
  <c r="F62" i="1"/>
  <c r="F63" i="1"/>
  <c r="T39" i="1"/>
  <c r="T40" i="1"/>
  <c r="T41" i="1"/>
  <c r="T42" i="1"/>
  <c r="T43" i="1"/>
  <c r="T44" i="1"/>
  <c r="T45" i="1"/>
  <c r="T46" i="1"/>
  <c r="T47" i="1"/>
  <c r="T48" i="1"/>
  <c r="F39" i="1"/>
  <c r="F40" i="1"/>
  <c r="F41" i="1"/>
  <c r="F42" i="1"/>
  <c r="F43" i="1"/>
  <c r="F44" i="1"/>
  <c r="F45" i="1"/>
  <c r="F46" i="1"/>
  <c r="F47" i="1"/>
  <c r="F48" i="1"/>
</calcChain>
</file>

<file path=xl/sharedStrings.xml><?xml version="1.0" encoding="utf-8"?>
<sst xmlns="http://schemas.openxmlformats.org/spreadsheetml/2006/main" count="460" uniqueCount="78">
  <si>
    <t>C1</t>
  </si>
  <si>
    <t>C2</t>
  </si>
  <si>
    <t>C3</t>
  </si>
  <si>
    <t>C4</t>
  </si>
  <si>
    <t>C6</t>
  </si>
  <si>
    <t>C7</t>
  </si>
  <si>
    <t>C8</t>
  </si>
  <si>
    <t>C9</t>
  </si>
  <si>
    <t>C10</t>
  </si>
  <si>
    <t>Sj</t>
  </si>
  <si>
    <t>C5</t>
  </si>
  <si>
    <t>kj</t>
  </si>
  <si>
    <t>qj</t>
  </si>
  <si>
    <t>wj</t>
  </si>
  <si>
    <t>D10</t>
  </si>
  <si>
    <t>D9</t>
  </si>
  <si>
    <t>D6</t>
  </si>
  <si>
    <t>D11</t>
  </si>
  <si>
    <t>D7</t>
  </si>
  <si>
    <t>D8</t>
  </si>
  <si>
    <t>D5</t>
  </si>
  <si>
    <t>D3</t>
  </si>
  <si>
    <t>D2</t>
  </si>
  <si>
    <t>D1</t>
  </si>
  <si>
    <t>D4</t>
  </si>
  <si>
    <t>k</t>
  </si>
  <si>
    <t>DM1</t>
  </si>
  <si>
    <t>DM2</t>
  </si>
  <si>
    <t>DM3</t>
  </si>
  <si>
    <t>DM4</t>
  </si>
  <si>
    <t>DM5</t>
  </si>
  <si>
    <t>Rank</t>
  </si>
  <si>
    <r>
      <t>S</t>
    </r>
    <r>
      <rPr>
        <i/>
        <vertAlign val="subscript"/>
        <sz val="10"/>
        <color theme="1"/>
        <rFont val="Times New Roman"/>
        <family val="1"/>
        <charset val="162"/>
      </rPr>
      <t>j</t>
    </r>
  </si>
  <si>
    <t>C</t>
  </si>
  <si>
    <t>• Evaluation results with SWARA method (drivers)</t>
  </si>
  <si>
    <t>Drivers Sorting Based Decision Makers by SWARA</t>
  </si>
  <si>
    <t>Importance Levels of Drivers Based Decision Maker by SWARA</t>
  </si>
  <si>
    <t>Drivers</t>
  </si>
  <si>
    <t>D</t>
  </si>
  <si>
    <t>Geo mean</t>
  </si>
  <si>
    <t>Ar. Mean</t>
  </si>
  <si>
    <t>Drivers Means by SWARA</t>
  </si>
  <si>
    <t>Challenges Sorting Based Decision Makers by SWARA</t>
  </si>
  <si>
    <t>Importance Levels of Challenges Based Decision Maker by SWARA</t>
  </si>
  <si>
    <t>Challenges</t>
  </si>
  <si>
    <t>Criteria Number = 9</t>
  </si>
  <si>
    <t>Criterion 1</t>
  </si>
  <si>
    <t>Criterion 2</t>
  </si>
  <si>
    <t>Criterion 3</t>
  </si>
  <si>
    <t>Criterion 4</t>
  </si>
  <si>
    <t>Criterion 5</t>
  </si>
  <si>
    <t>Criterion 6</t>
  </si>
  <si>
    <t>Criterion 7</t>
  </si>
  <si>
    <t>Criterion 8</t>
  </si>
  <si>
    <t>Criterion 9</t>
  </si>
  <si>
    <t>Criterion 10</t>
  </si>
  <si>
    <t>Criterion 11</t>
  </si>
  <si>
    <t>Names of Criteria</t>
  </si>
  <si>
    <t>n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</si>
  <si>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</si>
  <si>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</si>
  <si>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</si>
  <si>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</si>
  <si>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</si>
  <si>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</si>
  <si>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</si>
  <si>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</si>
  <si>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</si>
  <si>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</si>
  <si>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Select the Best</t>
  </si>
  <si>
    <t>Select the Worst</t>
  </si>
  <si>
    <t>Best to Others</t>
  </si>
  <si>
    <t>Others to the Worst</t>
  </si>
  <si>
    <t>Weights</t>
  </si>
  <si>
    <t>Ksi*</t>
  </si>
  <si>
    <t>Sum of weights</t>
  </si>
  <si>
    <t>Constraint 1</t>
  </si>
  <si>
    <t>Constraint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</si>
</sst>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i/>
      <sz val="10"/>
      <color theme="1"/>
      <name val="Times New Roman"/>
      <family val="1"/>
      <charset val="162"/>
    </font>
    <font>
      <i/>
      <vertAlign val="subscript"/>
      <sz val="10"/>
      <color theme="1"/>
      <name val="Times New Roman"/>
      <family val="1"/>
      <charset val="162"/>
    </font>
    <font>
      <sz val="10"/>
      <color rgb="FF000000"/>
      <name val="Calibri"/>
      <family val="2"/>
      <charset val="162"/>
    </font>
    <font>
      <sz val="9"/>
      <name val="Times New Roman"/>
      <family val="1"/>
      <charset val="16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0" borderId="0" xfId="0" applyFill="1" applyBorder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center" vertical="top" wrapText="1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  <xf numFmtId="164" fontId="0" fillId="0" borderId="0" xfId="0" applyNumberFormat="1" applyFill="1" applyBorder="1"/>
    <xf numFmtId="0" fontId="4" fillId="3" borderId="1" xfId="0" applyFont="1" applyFill="1" applyBorder="1" applyAlignment="1">
      <alignment horizontal="justify" vertical="top" wrapText="1"/>
    </xf>
    <xf numFmtId="0" fontId="5" fillId="3" borderId="1" xfId="0" applyFont="1" applyFill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1" fillId="6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/>
    <xf numFmtId="164" fontId="0" fillId="7" borderId="1" xfId="0" applyNumberFormat="1" applyFill="1" applyBorder="1"/>
    <xf numFmtId="0" fontId="4" fillId="7" borderId="1" xfId="0" applyFont="1" applyFill="1" applyBorder="1" applyAlignment="1">
      <alignment horizontal="justify" vertical="top" wrapText="1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0" fillId="7" borderId="3" xfId="0" applyFill="1" applyBorder="1"/>
    <xf numFmtId="0" fontId="7" fillId="7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vertical="top" wrapText="1"/>
    </xf>
    <xf numFmtId="164" fontId="0" fillId="7" borderId="1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0" fontId="9" fillId="0" borderId="0" xfId="1"/>
    <xf numFmtId="0" fontId="10" fillId="0" borderId="1" xfId="1" applyFont="1" applyFill="1" applyBorder="1" applyAlignment="1">
      <alignment horizontal="center"/>
    </xf>
    <xf numFmtId="0" fontId="9" fillId="0" borderId="1" xfId="1" applyBorder="1" applyAlignment="1">
      <alignment horizontal="center"/>
    </xf>
    <xf numFmtId="0" fontId="9" fillId="0" borderId="0" xfId="1" applyFill="1" applyBorder="1" applyAlignment="1">
      <alignment horizontal="center" wrapText="1"/>
    </xf>
    <xf numFmtId="0" fontId="9" fillId="0" borderId="1" xfId="1" applyBorder="1" applyAlignment="1">
      <alignment horizontal="center" wrapText="1"/>
    </xf>
    <xf numFmtId="0" fontId="9" fillId="0" borderId="0" xfId="1" applyAlignment="1">
      <alignment horizontal="center" wrapText="1"/>
    </xf>
    <xf numFmtId="0" fontId="10" fillId="0" borderId="1" xfId="1" applyFont="1" applyFill="1" applyBorder="1" applyAlignment="1">
      <alignment horizontal="center" wrapText="1"/>
    </xf>
    <xf numFmtId="0" fontId="11" fillId="0" borderId="0" xfId="1" applyFont="1" applyAlignment="1">
      <alignment horizontal="center" wrapText="1"/>
    </xf>
    <xf numFmtId="0" fontId="10" fillId="0" borderId="0" xfId="1" applyFont="1" applyFill="1" applyBorder="1" applyAlignment="1">
      <alignment horizontal="center" wrapText="1"/>
    </xf>
    <xf numFmtId="0" fontId="9" fillId="0" borderId="0" xfId="1" applyFill="1" applyAlignment="1">
      <alignment horizontal="center" wrapText="1"/>
    </xf>
    <xf numFmtId="0" fontId="10" fillId="0" borderId="3" xfId="1" applyFont="1" applyFill="1" applyBorder="1" applyAlignment="1">
      <alignment horizontal="center" wrapText="1"/>
    </xf>
    <xf numFmtId="0" fontId="9" fillId="0" borderId="0" xfId="1" applyNumberFormat="1" applyFill="1" applyBorder="1" applyAlignment="1">
      <alignment horizontal="center" wrapText="1"/>
    </xf>
    <xf numFmtId="0" fontId="9" fillId="3" borderId="1" xfId="1" applyFill="1" applyBorder="1" applyAlignment="1">
      <alignment horizontal="center" wrapText="1"/>
    </xf>
    <xf numFmtId="10" fontId="11" fillId="0" borderId="0" xfId="2" applyNumberFormat="1" applyFont="1" applyFill="1" applyBorder="1" applyAlignment="1">
      <alignment horizontal="center" wrapText="1"/>
    </xf>
    <xf numFmtId="0" fontId="9" fillId="0" borderId="1" xfId="1" applyFill="1" applyBorder="1" applyAlignment="1">
      <alignment horizontal="center" wrapText="1"/>
    </xf>
    <xf numFmtId="0" fontId="12" fillId="0" borderId="0" xfId="1" applyFont="1" applyAlignment="1">
      <alignment horizontal="center" wrapText="1"/>
    </xf>
    <xf numFmtId="0" fontId="12" fillId="0" borderId="0" xfId="1" applyFont="1" applyFill="1" applyAlignment="1">
      <alignment horizontal="center" wrapText="1"/>
    </xf>
    <xf numFmtId="0" fontId="9" fillId="0" borderId="0" xfId="1" applyFont="1" applyFill="1" applyBorder="1" applyAlignment="1" applyProtection="1">
      <alignment horizontal="center" wrapText="1"/>
      <protection hidden="1"/>
    </xf>
    <xf numFmtId="0" fontId="9" fillId="0" borderId="0" xfId="1" applyFill="1" applyBorder="1" applyAlignment="1" applyProtection="1">
      <alignment horizontal="center" wrapText="1"/>
      <protection hidden="1"/>
    </xf>
    <xf numFmtId="0" fontId="9" fillId="0" borderId="0" xfId="1" applyFont="1" applyAlignment="1" applyProtection="1">
      <alignment horizontal="center" wrapText="1"/>
      <protection hidden="1"/>
    </xf>
    <xf numFmtId="0" fontId="9" fillId="0" borderId="0" xfId="1" applyAlignment="1" applyProtection="1">
      <alignment horizontal="center" wrapText="1"/>
      <protection hidden="1"/>
    </xf>
    <xf numFmtId="0" fontId="9" fillId="0" borderId="0" xfId="1" applyFont="1" applyFill="1" applyAlignment="1" applyProtection="1">
      <alignment horizontal="center" wrapText="1"/>
      <protection hidden="1"/>
    </xf>
    <xf numFmtId="0" fontId="11" fillId="0" borderId="0" xfId="1" applyFont="1" applyFill="1" applyBorder="1" applyAlignment="1" applyProtection="1">
      <alignment horizontal="center" wrapText="1"/>
    </xf>
    <xf numFmtId="0" fontId="11" fillId="0" borderId="0" xfId="1" applyFont="1" applyBorder="1" applyAlignment="1" applyProtection="1">
      <alignment horizontal="center" wrapText="1"/>
    </xf>
    <xf numFmtId="0" fontId="9" fillId="6" borderId="1" xfId="1" applyFill="1" applyBorder="1" applyAlignment="1" applyProtection="1">
      <alignment horizontal="center" wrapText="1"/>
      <protection locked="0"/>
    </xf>
    <xf numFmtId="0" fontId="8" fillId="7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9" fillId="0" borderId="0" xfId="1" applyFill="1" applyBorder="1" applyAlignment="1">
      <alignment horizontal="center" wrapText="1"/>
    </xf>
    <xf numFmtId="0" fontId="9" fillId="0" borderId="2" xfId="1" applyBorder="1" applyAlignment="1">
      <alignment horizontal="center" vertical="center" wrapText="1"/>
    </xf>
    <xf numFmtId="0" fontId="9" fillId="0" borderId="3" xfId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Yüzd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opLeftCell="C44" zoomScale="50" zoomScaleNormal="50" workbookViewId="0">
      <selection sqref="A1:U82"/>
    </sheetView>
  </sheetViews>
  <sheetFormatPr defaultRowHeight="15" x14ac:dyDescent="0.25"/>
  <sheetData>
    <row r="1" spans="1:7" x14ac:dyDescent="0.25">
      <c r="A1" s="67" t="s">
        <v>34</v>
      </c>
      <c r="B1" s="67"/>
      <c r="C1" s="67"/>
      <c r="D1" s="67"/>
      <c r="E1" s="67"/>
      <c r="F1" s="67"/>
    </row>
    <row r="4" spans="1:7" ht="15.75" x14ac:dyDescent="0.25">
      <c r="A4" s="17" t="s">
        <v>35</v>
      </c>
      <c r="B4" s="16"/>
      <c r="C4" s="16"/>
      <c r="D4" s="16"/>
      <c r="E4" s="18"/>
      <c r="F4" s="18"/>
    </row>
    <row r="6" spans="1:7" x14ac:dyDescent="0.25">
      <c r="A6" s="15" t="s">
        <v>33</v>
      </c>
      <c r="B6" s="15" t="s">
        <v>26</v>
      </c>
      <c r="C6" s="15" t="s">
        <v>27</v>
      </c>
      <c r="D6" s="15" t="s">
        <v>28</v>
      </c>
      <c r="E6" s="15" t="s">
        <v>29</v>
      </c>
      <c r="F6" s="15" t="s">
        <v>30</v>
      </c>
      <c r="G6" s="6"/>
    </row>
    <row r="7" spans="1:7" x14ac:dyDescent="0.25">
      <c r="A7" s="7" t="s">
        <v>23</v>
      </c>
      <c r="B7" s="8">
        <v>10</v>
      </c>
      <c r="C7" s="8">
        <v>9</v>
      </c>
      <c r="D7" s="8">
        <v>5</v>
      </c>
      <c r="E7" s="8">
        <v>5</v>
      </c>
      <c r="F7" s="8">
        <v>4</v>
      </c>
      <c r="G7" s="6"/>
    </row>
    <row r="8" spans="1:7" x14ac:dyDescent="0.25">
      <c r="A8" s="7" t="s">
        <v>22</v>
      </c>
      <c r="B8" s="8">
        <v>9</v>
      </c>
      <c r="C8" s="8">
        <v>11</v>
      </c>
      <c r="D8" s="8">
        <v>6</v>
      </c>
      <c r="E8" s="8">
        <v>4</v>
      </c>
      <c r="F8" s="8">
        <v>6</v>
      </c>
      <c r="G8" s="6"/>
    </row>
    <row r="9" spans="1:7" x14ac:dyDescent="0.25">
      <c r="A9" s="7" t="s">
        <v>21</v>
      </c>
      <c r="B9" s="8">
        <v>8</v>
      </c>
      <c r="C9" s="8">
        <v>8</v>
      </c>
      <c r="D9" s="8">
        <v>8</v>
      </c>
      <c r="E9" s="8">
        <v>3</v>
      </c>
      <c r="F9" s="8">
        <v>9</v>
      </c>
      <c r="G9" s="6"/>
    </row>
    <row r="10" spans="1:7" x14ac:dyDescent="0.25">
      <c r="A10" s="7" t="s">
        <v>24</v>
      </c>
      <c r="B10" s="8">
        <v>11</v>
      </c>
      <c r="C10" s="8">
        <v>10</v>
      </c>
      <c r="D10" s="8">
        <v>9</v>
      </c>
      <c r="E10" s="8">
        <v>1</v>
      </c>
      <c r="F10" s="8">
        <v>3</v>
      </c>
      <c r="G10" s="6"/>
    </row>
    <row r="11" spans="1:7" x14ac:dyDescent="0.25">
      <c r="A11" s="7" t="s">
        <v>20</v>
      </c>
      <c r="B11" s="8">
        <v>7</v>
      </c>
      <c r="C11" s="8">
        <v>7</v>
      </c>
      <c r="D11" s="8">
        <v>10</v>
      </c>
      <c r="E11" s="8">
        <v>2</v>
      </c>
      <c r="F11" s="8">
        <v>8</v>
      </c>
      <c r="G11" s="6"/>
    </row>
    <row r="12" spans="1:7" x14ac:dyDescent="0.25">
      <c r="A12" s="7" t="s">
        <v>16</v>
      </c>
      <c r="B12" s="8">
        <v>3</v>
      </c>
      <c r="C12" s="8">
        <v>5</v>
      </c>
      <c r="D12" s="8">
        <v>11</v>
      </c>
      <c r="E12" s="8">
        <v>6</v>
      </c>
      <c r="F12" s="8">
        <v>1</v>
      </c>
      <c r="G12" s="6"/>
    </row>
    <row r="13" spans="1:7" x14ac:dyDescent="0.25">
      <c r="A13" s="7" t="s">
        <v>18</v>
      </c>
      <c r="B13" s="8">
        <v>5</v>
      </c>
      <c r="C13" s="8">
        <v>6</v>
      </c>
      <c r="D13" s="8">
        <v>7</v>
      </c>
      <c r="E13" s="8">
        <v>8</v>
      </c>
      <c r="F13" s="8">
        <v>5</v>
      </c>
      <c r="G13" s="6"/>
    </row>
    <row r="14" spans="1:7" x14ac:dyDescent="0.25">
      <c r="A14" s="7" t="s">
        <v>19</v>
      </c>
      <c r="B14" s="8">
        <v>6</v>
      </c>
      <c r="C14" s="8">
        <v>4</v>
      </c>
      <c r="D14" s="8">
        <v>4</v>
      </c>
      <c r="E14" s="8">
        <v>9</v>
      </c>
      <c r="F14" s="8">
        <v>11</v>
      </c>
      <c r="G14" s="6"/>
    </row>
    <row r="15" spans="1:7" x14ac:dyDescent="0.25">
      <c r="A15" s="7" t="s">
        <v>15</v>
      </c>
      <c r="B15" s="8">
        <v>2</v>
      </c>
      <c r="C15" s="8">
        <v>3</v>
      </c>
      <c r="D15" s="8">
        <v>3</v>
      </c>
      <c r="E15" s="8">
        <v>11</v>
      </c>
      <c r="F15" s="8">
        <v>2</v>
      </c>
      <c r="G15" s="6"/>
    </row>
    <row r="16" spans="1:7" x14ac:dyDescent="0.25">
      <c r="A16" s="7" t="s">
        <v>14</v>
      </c>
      <c r="B16" s="8">
        <v>1</v>
      </c>
      <c r="C16" s="8">
        <v>1</v>
      </c>
      <c r="D16" s="8">
        <v>1</v>
      </c>
      <c r="E16" s="8">
        <v>10</v>
      </c>
      <c r="F16" s="8">
        <v>7</v>
      </c>
      <c r="G16" s="6"/>
    </row>
    <row r="17" spans="1:13" x14ac:dyDescent="0.25">
      <c r="A17" s="7" t="s">
        <v>17</v>
      </c>
      <c r="B17" s="8">
        <v>4</v>
      </c>
      <c r="C17" s="8">
        <v>2</v>
      </c>
      <c r="D17" s="8">
        <v>2</v>
      </c>
      <c r="E17" s="8">
        <v>7</v>
      </c>
      <c r="F17" s="8">
        <v>10</v>
      </c>
      <c r="G17" s="6"/>
    </row>
    <row r="20" spans="1:13" ht="15.75" x14ac:dyDescent="0.25">
      <c r="A20" s="17" t="s">
        <v>36</v>
      </c>
      <c r="B20" s="18"/>
      <c r="C20" s="18"/>
      <c r="D20" s="18"/>
      <c r="E20" s="18"/>
      <c r="F20" s="18"/>
      <c r="G20" s="18"/>
    </row>
    <row r="22" spans="1:13" x14ac:dyDescent="0.25">
      <c r="A22" s="3"/>
      <c r="B22" s="68" t="s">
        <v>26</v>
      </c>
      <c r="C22" s="68"/>
      <c r="D22" s="68" t="s">
        <v>27</v>
      </c>
      <c r="E22" s="68"/>
      <c r="F22" s="68" t="s">
        <v>28</v>
      </c>
      <c r="G22" s="68"/>
      <c r="H22" s="68" t="s">
        <v>29</v>
      </c>
      <c r="I22" s="68"/>
      <c r="J22" s="68" t="s">
        <v>30</v>
      </c>
      <c r="K22" s="68"/>
      <c r="L22" s="66"/>
      <c r="M22" s="66"/>
    </row>
    <row r="23" spans="1:13" x14ac:dyDescent="0.25">
      <c r="A23" s="3" t="s">
        <v>25</v>
      </c>
      <c r="B23" s="13" t="s">
        <v>31</v>
      </c>
      <c r="C23" s="14" t="s">
        <v>32</v>
      </c>
      <c r="D23" s="13" t="s">
        <v>31</v>
      </c>
      <c r="E23" s="14" t="s">
        <v>32</v>
      </c>
      <c r="F23" s="13" t="s">
        <v>31</v>
      </c>
      <c r="G23" s="14" t="s">
        <v>32</v>
      </c>
      <c r="H23" s="13" t="s">
        <v>31</v>
      </c>
      <c r="I23" s="14" t="s">
        <v>32</v>
      </c>
      <c r="J23" s="13" t="s">
        <v>31</v>
      </c>
      <c r="K23" s="14" t="s">
        <v>32</v>
      </c>
      <c r="L23" s="6"/>
      <c r="M23" s="6"/>
    </row>
    <row r="24" spans="1:13" x14ac:dyDescent="0.25">
      <c r="A24" s="3">
        <v>1</v>
      </c>
      <c r="B24" s="13" t="s">
        <v>14</v>
      </c>
      <c r="C24" s="4"/>
      <c r="D24" s="13" t="s">
        <v>14</v>
      </c>
      <c r="E24" s="4"/>
      <c r="F24" s="13" t="s">
        <v>14</v>
      </c>
      <c r="G24" s="4"/>
      <c r="H24" s="13" t="s">
        <v>24</v>
      </c>
      <c r="I24" s="4"/>
      <c r="J24" s="13" t="s">
        <v>16</v>
      </c>
      <c r="K24" s="2"/>
      <c r="L24" s="9"/>
      <c r="M24" s="9"/>
    </row>
    <row r="25" spans="1:13" x14ac:dyDescent="0.25">
      <c r="A25" s="3">
        <v>2</v>
      </c>
      <c r="B25" s="13" t="s">
        <v>15</v>
      </c>
      <c r="C25" s="13">
        <v>0.1</v>
      </c>
      <c r="D25" s="13" t="s">
        <v>17</v>
      </c>
      <c r="E25" s="13">
        <v>0.4</v>
      </c>
      <c r="F25" s="13" t="s">
        <v>17</v>
      </c>
      <c r="G25" s="13">
        <v>0.4</v>
      </c>
      <c r="H25" s="13" t="s">
        <v>20</v>
      </c>
      <c r="I25" s="13">
        <v>0.4</v>
      </c>
      <c r="J25" s="13" t="s">
        <v>15</v>
      </c>
      <c r="K25" s="13">
        <v>0.5</v>
      </c>
      <c r="L25" s="9"/>
      <c r="M25" s="9"/>
    </row>
    <row r="26" spans="1:13" x14ac:dyDescent="0.25">
      <c r="A26" s="3">
        <v>3</v>
      </c>
      <c r="B26" s="13" t="s">
        <v>16</v>
      </c>
      <c r="C26" s="13">
        <v>0.4</v>
      </c>
      <c r="D26" s="13" t="s">
        <v>15</v>
      </c>
      <c r="E26" s="13">
        <v>0.6</v>
      </c>
      <c r="F26" s="13" t="s">
        <v>15</v>
      </c>
      <c r="G26" s="13">
        <v>0.5</v>
      </c>
      <c r="H26" s="13" t="s">
        <v>21</v>
      </c>
      <c r="I26" s="13">
        <v>0.6</v>
      </c>
      <c r="J26" s="13" t="s">
        <v>24</v>
      </c>
      <c r="K26" s="13">
        <v>0.7</v>
      </c>
      <c r="L26" s="9"/>
      <c r="M26" s="9"/>
    </row>
    <row r="27" spans="1:13" x14ac:dyDescent="0.25">
      <c r="A27" s="3">
        <v>4</v>
      </c>
      <c r="B27" s="13" t="s">
        <v>17</v>
      </c>
      <c r="C27" s="13">
        <v>0.1</v>
      </c>
      <c r="D27" s="13" t="s">
        <v>19</v>
      </c>
      <c r="E27" s="13">
        <v>0.4</v>
      </c>
      <c r="F27" s="13" t="s">
        <v>19</v>
      </c>
      <c r="G27" s="13">
        <v>0.4</v>
      </c>
      <c r="H27" s="13" t="s">
        <v>22</v>
      </c>
      <c r="I27" s="13">
        <v>0.6</v>
      </c>
      <c r="J27" s="13" t="s">
        <v>23</v>
      </c>
      <c r="K27" s="13">
        <v>0.6</v>
      </c>
      <c r="L27" s="9"/>
      <c r="M27" s="9"/>
    </row>
    <row r="28" spans="1:13" x14ac:dyDescent="0.25">
      <c r="A28" s="3">
        <v>5</v>
      </c>
      <c r="B28" s="13" t="s">
        <v>18</v>
      </c>
      <c r="C28" s="13">
        <v>0.2</v>
      </c>
      <c r="D28" s="13" t="s">
        <v>16</v>
      </c>
      <c r="E28" s="13">
        <v>0.5</v>
      </c>
      <c r="F28" s="13" t="s">
        <v>23</v>
      </c>
      <c r="G28" s="13">
        <v>0.5</v>
      </c>
      <c r="H28" s="13" t="s">
        <v>23</v>
      </c>
      <c r="I28" s="13">
        <v>0.4</v>
      </c>
      <c r="J28" s="13" t="s">
        <v>18</v>
      </c>
      <c r="K28" s="13">
        <v>0.7</v>
      </c>
      <c r="L28" s="9"/>
      <c r="M28" s="9"/>
    </row>
    <row r="29" spans="1:13" x14ac:dyDescent="0.25">
      <c r="A29" s="3">
        <v>6</v>
      </c>
      <c r="B29" s="13" t="s">
        <v>19</v>
      </c>
      <c r="C29" s="13">
        <v>0.3</v>
      </c>
      <c r="D29" s="13" t="s">
        <v>18</v>
      </c>
      <c r="E29" s="13">
        <v>0.6</v>
      </c>
      <c r="F29" s="13" t="s">
        <v>22</v>
      </c>
      <c r="G29" s="13">
        <v>0.5</v>
      </c>
      <c r="H29" s="13" t="s">
        <v>16</v>
      </c>
      <c r="I29" s="13">
        <v>0.4</v>
      </c>
      <c r="J29" s="13" t="s">
        <v>22</v>
      </c>
      <c r="K29" s="13">
        <v>0.7</v>
      </c>
      <c r="L29" s="9"/>
      <c r="M29" s="9"/>
    </row>
    <row r="30" spans="1:13" x14ac:dyDescent="0.25">
      <c r="A30" s="3">
        <v>7</v>
      </c>
      <c r="B30" s="13" t="s">
        <v>20</v>
      </c>
      <c r="C30" s="13">
        <v>0.6</v>
      </c>
      <c r="D30" s="13" t="s">
        <v>20</v>
      </c>
      <c r="E30" s="13">
        <v>0.4</v>
      </c>
      <c r="F30" s="13" t="s">
        <v>18</v>
      </c>
      <c r="G30" s="13">
        <v>0.6</v>
      </c>
      <c r="H30" s="13" t="s">
        <v>17</v>
      </c>
      <c r="I30" s="13">
        <v>0.7</v>
      </c>
      <c r="J30" s="13" t="s">
        <v>14</v>
      </c>
      <c r="K30" s="13">
        <v>0.5</v>
      </c>
      <c r="L30" s="9"/>
      <c r="M30" s="9"/>
    </row>
    <row r="31" spans="1:13" x14ac:dyDescent="0.25">
      <c r="A31" s="3">
        <v>8</v>
      </c>
      <c r="B31" s="13" t="s">
        <v>21</v>
      </c>
      <c r="C31" s="13">
        <v>0.2</v>
      </c>
      <c r="D31" s="13" t="s">
        <v>21</v>
      </c>
      <c r="E31" s="13">
        <v>0.4</v>
      </c>
      <c r="F31" s="13" t="s">
        <v>21</v>
      </c>
      <c r="G31" s="13">
        <v>0.4</v>
      </c>
      <c r="H31" s="13" t="s">
        <v>18</v>
      </c>
      <c r="I31" s="13">
        <v>0.4</v>
      </c>
      <c r="J31" s="13" t="s">
        <v>20</v>
      </c>
      <c r="K31" s="13">
        <v>0.6</v>
      </c>
      <c r="L31" s="9"/>
      <c r="M31" s="9"/>
    </row>
    <row r="32" spans="1:13" x14ac:dyDescent="0.25">
      <c r="A32" s="3">
        <v>9</v>
      </c>
      <c r="B32" s="13" t="s">
        <v>22</v>
      </c>
      <c r="C32" s="13">
        <v>0.7</v>
      </c>
      <c r="D32" s="13" t="s">
        <v>23</v>
      </c>
      <c r="E32" s="13">
        <v>0.6</v>
      </c>
      <c r="F32" s="13" t="s">
        <v>24</v>
      </c>
      <c r="G32" s="13">
        <v>0.6</v>
      </c>
      <c r="H32" s="13" t="s">
        <v>19</v>
      </c>
      <c r="I32" s="13">
        <v>0.6</v>
      </c>
      <c r="J32" s="13" t="s">
        <v>21</v>
      </c>
      <c r="K32" s="13">
        <v>0.5</v>
      </c>
      <c r="L32" s="9"/>
      <c r="M32" s="9"/>
    </row>
    <row r="33" spans="1:20" x14ac:dyDescent="0.25">
      <c r="A33" s="3">
        <v>10</v>
      </c>
      <c r="B33" s="13" t="s">
        <v>23</v>
      </c>
      <c r="C33" s="13">
        <v>0.9</v>
      </c>
      <c r="D33" s="13" t="s">
        <v>24</v>
      </c>
      <c r="E33" s="13">
        <v>0.5</v>
      </c>
      <c r="F33" s="13" t="s">
        <v>20</v>
      </c>
      <c r="G33" s="13">
        <v>0.5</v>
      </c>
      <c r="H33" s="13" t="s">
        <v>14</v>
      </c>
      <c r="I33" s="13">
        <v>0.6</v>
      </c>
      <c r="J33" s="13" t="s">
        <v>17</v>
      </c>
      <c r="K33" s="13">
        <v>0.6</v>
      </c>
      <c r="L33" s="9"/>
      <c r="M33" s="9"/>
    </row>
    <row r="34" spans="1:20" x14ac:dyDescent="0.25">
      <c r="A34" s="3">
        <v>11</v>
      </c>
      <c r="B34" s="13" t="s">
        <v>24</v>
      </c>
      <c r="C34" s="13">
        <v>0.3</v>
      </c>
      <c r="D34" s="13" t="s">
        <v>22</v>
      </c>
      <c r="E34" s="13">
        <v>0.5</v>
      </c>
      <c r="F34" s="13" t="s">
        <v>16</v>
      </c>
      <c r="G34" s="13">
        <v>0.4</v>
      </c>
      <c r="H34" s="13" t="s">
        <v>15</v>
      </c>
      <c r="I34" s="13">
        <v>0.7</v>
      </c>
      <c r="J34" s="13" t="s">
        <v>19</v>
      </c>
      <c r="K34" s="13">
        <v>0.6</v>
      </c>
      <c r="L34" s="9"/>
      <c r="M34" s="9"/>
    </row>
    <row r="36" spans="1:20" x14ac:dyDescent="0.25">
      <c r="A36" s="5" t="s">
        <v>26</v>
      </c>
      <c r="B36" s="5"/>
      <c r="C36" s="5"/>
      <c r="D36" s="5"/>
      <c r="H36" s="5" t="s">
        <v>27</v>
      </c>
      <c r="I36" s="5"/>
      <c r="J36" s="5"/>
      <c r="K36" s="5"/>
      <c r="O36" s="5" t="s">
        <v>28</v>
      </c>
      <c r="P36" s="5"/>
      <c r="Q36" s="5"/>
      <c r="R36" s="5"/>
    </row>
    <row r="38" spans="1:20" x14ac:dyDescent="0.25">
      <c r="A38" s="20" t="s">
        <v>25</v>
      </c>
      <c r="B38" s="19" t="s">
        <v>37</v>
      </c>
      <c r="C38" s="19" t="s">
        <v>9</v>
      </c>
      <c r="D38" s="19" t="s">
        <v>11</v>
      </c>
      <c r="E38" s="19" t="s">
        <v>12</v>
      </c>
      <c r="F38" s="19" t="s">
        <v>13</v>
      </c>
      <c r="H38" s="20" t="s">
        <v>25</v>
      </c>
      <c r="I38" s="19" t="s">
        <v>37</v>
      </c>
      <c r="J38" s="19" t="s">
        <v>9</v>
      </c>
      <c r="K38" s="19" t="s">
        <v>11</v>
      </c>
      <c r="L38" s="19" t="s">
        <v>12</v>
      </c>
      <c r="M38" s="19" t="s">
        <v>13</v>
      </c>
      <c r="O38" s="20" t="s">
        <v>25</v>
      </c>
      <c r="P38" s="19" t="s">
        <v>37</v>
      </c>
      <c r="Q38" s="19" t="s">
        <v>9</v>
      </c>
      <c r="R38" s="19" t="s">
        <v>11</v>
      </c>
      <c r="S38" s="19" t="s">
        <v>12</v>
      </c>
      <c r="T38" s="19" t="s">
        <v>13</v>
      </c>
    </row>
    <row r="39" spans="1:20" x14ac:dyDescent="0.25">
      <c r="A39" s="20">
        <v>1</v>
      </c>
      <c r="B39" s="24" t="s">
        <v>14</v>
      </c>
      <c r="C39" s="21"/>
      <c r="D39" s="22">
        <v>1</v>
      </c>
      <c r="E39" s="23">
        <v>1</v>
      </c>
      <c r="F39" s="23">
        <f>E39/$E$50</f>
        <v>0.21383122095954238</v>
      </c>
      <c r="H39" s="20">
        <v>1</v>
      </c>
      <c r="I39" s="24" t="s">
        <v>14</v>
      </c>
      <c r="J39" s="21"/>
      <c r="K39" s="22">
        <v>1</v>
      </c>
      <c r="L39" s="23">
        <v>1</v>
      </c>
      <c r="M39" s="23">
        <f>L39/$L$50</f>
        <v>0.32497303054965943</v>
      </c>
      <c r="O39" s="20">
        <v>1</v>
      </c>
      <c r="P39" s="24" t="s">
        <v>14</v>
      </c>
      <c r="Q39" s="21"/>
      <c r="R39" s="22">
        <v>1</v>
      </c>
      <c r="S39" s="23">
        <v>1</v>
      </c>
      <c r="T39" s="23">
        <f>S39/$S$50</f>
        <v>0.31636603873259839</v>
      </c>
    </row>
    <row r="40" spans="1:20" x14ac:dyDescent="0.25">
      <c r="A40" s="20">
        <v>2</v>
      </c>
      <c r="B40" s="24" t="s">
        <v>15</v>
      </c>
      <c r="C40" s="24">
        <v>0.1</v>
      </c>
      <c r="D40" s="22">
        <f>1+C40</f>
        <v>1.1000000000000001</v>
      </c>
      <c r="E40" s="23">
        <f>E39/D40</f>
        <v>0.90909090909090906</v>
      </c>
      <c r="F40" s="23">
        <f t="shared" ref="F40:F49" si="0">E40/$E$50</f>
        <v>0.19439201905412942</v>
      </c>
      <c r="H40" s="20">
        <v>2</v>
      </c>
      <c r="I40" s="24" t="s">
        <v>17</v>
      </c>
      <c r="J40" s="24">
        <v>0.4</v>
      </c>
      <c r="K40" s="22">
        <f>1+J40</f>
        <v>1.4</v>
      </c>
      <c r="L40" s="23">
        <f>L39/K40</f>
        <v>0.7142857142857143</v>
      </c>
      <c r="M40" s="23">
        <f t="shared" ref="M40:M49" si="1">L40/$L$50</f>
        <v>0.23212359324975676</v>
      </c>
      <c r="O40" s="20">
        <v>2</v>
      </c>
      <c r="P40" s="24" t="s">
        <v>17</v>
      </c>
      <c r="Q40" s="24">
        <v>0.4</v>
      </c>
      <c r="R40" s="22">
        <f>1+Q40</f>
        <v>1.4</v>
      </c>
      <c r="S40" s="23">
        <f>S39/R40</f>
        <v>0.7142857142857143</v>
      </c>
      <c r="T40" s="23">
        <f t="shared" ref="T40:T49" si="2">S40/$S$50</f>
        <v>0.22597574195185599</v>
      </c>
    </row>
    <row r="41" spans="1:20" x14ac:dyDescent="0.25">
      <c r="A41" s="20">
        <v>3</v>
      </c>
      <c r="B41" s="24" t="s">
        <v>16</v>
      </c>
      <c r="C41" s="24">
        <v>0.4</v>
      </c>
      <c r="D41" s="22">
        <f t="shared" ref="D41:D49" si="3">1+C41</f>
        <v>1.4</v>
      </c>
      <c r="E41" s="23">
        <f>E40/D41</f>
        <v>0.64935064935064934</v>
      </c>
      <c r="F41" s="23">
        <f t="shared" si="0"/>
        <v>0.13885144218152104</v>
      </c>
      <c r="H41" s="20">
        <v>3</v>
      </c>
      <c r="I41" s="24" t="s">
        <v>15</v>
      </c>
      <c r="J41" s="24">
        <v>0.6</v>
      </c>
      <c r="K41" s="22">
        <f t="shared" ref="K41:K49" si="4">1+J41</f>
        <v>1.6</v>
      </c>
      <c r="L41" s="23">
        <f>L40/K41</f>
        <v>0.4464285714285714</v>
      </c>
      <c r="M41" s="23">
        <f t="shared" si="1"/>
        <v>0.14507724578109796</v>
      </c>
      <c r="O41" s="20">
        <v>3</v>
      </c>
      <c r="P41" s="24" t="s">
        <v>15</v>
      </c>
      <c r="Q41" s="24">
        <v>0.5</v>
      </c>
      <c r="R41" s="22">
        <f t="shared" ref="R41:R49" si="5">1+Q41</f>
        <v>1.5</v>
      </c>
      <c r="S41" s="23">
        <f>S40/R41</f>
        <v>0.47619047619047622</v>
      </c>
      <c r="T41" s="23">
        <f t="shared" si="2"/>
        <v>0.15065049463457067</v>
      </c>
    </row>
    <row r="42" spans="1:20" x14ac:dyDescent="0.25">
      <c r="A42" s="20">
        <v>4</v>
      </c>
      <c r="B42" s="24" t="s">
        <v>17</v>
      </c>
      <c r="C42" s="24">
        <v>0.1</v>
      </c>
      <c r="D42" s="22">
        <f t="shared" si="3"/>
        <v>1.1000000000000001</v>
      </c>
      <c r="E42" s="23">
        <f t="shared" ref="E42:E49" si="6">E41/D42</f>
        <v>0.59031877213695394</v>
      </c>
      <c r="F42" s="23">
        <f t="shared" si="0"/>
        <v>0.12622858380138274</v>
      </c>
      <c r="H42" s="20">
        <v>4</v>
      </c>
      <c r="I42" s="24" t="s">
        <v>19</v>
      </c>
      <c r="J42" s="24">
        <v>0.4</v>
      </c>
      <c r="K42" s="22">
        <f t="shared" si="4"/>
        <v>1.4</v>
      </c>
      <c r="L42" s="23">
        <f t="shared" ref="L42:L49" si="7">L41/K42</f>
        <v>0.31887755102040816</v>
      </c>
      <c r="M42" s="23">
        <f t="shared" si="1"/>
        <v>0.10362660412935569</v>
      </c>
      <c r="O42" s="20">
        <v>4</v>
      </c>
      <c r="P42" s="24" t="s">
        <v>19</v>
      </c>
      <c r="Q42" s="24">
        <v>0.4</v>
      </c>
      <c r="R42" s="22">
        <f t="shared" si="5"/>
        <v>1.4</v>
      </c>
      <c r="S42" s="23">
        <f t="shared" ref="S42:S49" si="8">S41/R42</f>
        <v>0.34013605442176875</v>
      </c>
      <c r="T42" s="23">
        <f t="shared" si="2"/>
        <v>0.10760749616755048</v>
      </c>
    </row>
    <row r="43" spans="1:20" x14ac:dyDescent="0.25">
      <c r="A43" s="20">
        <v>5</v>
      </c>
      <c r="B43" s="24" t="s">
        <v>18</v>
      </c>
      <c r="C43" s="24">
        <v>0.2</v>
      </c>
      <c r="D43" s="22">
        <f t="shared" si="3"/>
        <v>1.2</v>
      </c>
      <c r="E43" s="23">
        <f t="shared" si="6"/>
        <v>0.4919323101141283</v>
      </c>
      <c r="F43" s="23">
        <f t="shared" si="0"/>
        <v>0.1051904865011523</v>
      </c>
      <c r="H43" s="20">
        <v>5</v>
      </c>
      <c r="I43" s="24" t="s">
        <v>16</v>
      </c>
      <c r="J43" s="24">
        <v>0.5</v>
      </c>
      <c r="K43" s="22">
        <f t="shared" si="4"/>
        <v>1.5</v>
      </c>
      <c r="L43" s="23">
        <f t="shared" si="7"/>
        <v>0.21258503401360543</v>
      </c>
      <c r="M43" s="23">
        <f t="shared" si="1"/>
        <v>6.9084402752903784E-2</v>
      </c>
      <c r="O43" s="20">
        <v>5</v>
      </c>
      <c r="P43" s="24" t="s">
        <v>23</v>
      </c>
      <c r="Q43" s="24">
        <v>0.5</v>
      </c>
      <c r="R43" s="22">
        <f t="shared" si="5"/>
        <v>1.5</v>
      </c>
      <c r="S43" s="23">
        <f t="shared" si="8"/>
        <v>0.22675736961451251</v>
      </c>
      <c r="T43" s="23">
        <f t="shared" si="2"/>
        <v>7.1738330778366999E-2</v>
      </c>
    </row>
    <row r="44" spans="1:20" x14ac:dyDescent="0.25">
      <c r="A44" s="20">
        <v>6</v>
      </c>
      <c r="B44" s="24" t="s">
        <v>19</v>
      </c>
      <c r="C44" s="24">
        <v>0.3</v>
      </c>
      <c r="D44" s="22">
        <f t="shared" si="3"/>
        <v>1.3</v>
      </c>
      <c r="E44" s="23">
        <f t="shared" si="6"/>
        <v>0.37840946931856023</v>
      </c>
      <c r="F44" s="23">
        <f t="shared" si="0"/>
        <v>8.0915758847040234E-2</v>
      </c>
      <c r="H44" s="20">
        <v>6</v>
      </c>
      <c r="I44" s="24" t="s">
        <v>18</v>
      </c>
      <c r="J44" s="24">
        <v>0.6</v>
      </c>
      <c r="K44" s="22">
        <f t="shared" si="4"/>
        <v>1.6</v>
      </c>
      <c r="L44" s="23">
        <f t="shared" si="7"/>
        <v>0.13286564625850339</v>
      </c>
      <c r="M44" s="23">
        <f t="shared" si="1"/>
        <v>4.3177751720564865E-2</v>
      </c>
      <c r="O44" s="20">
        <v>6</v>
      </c>
      <c r="P44" s="24" t="s">
        <v>22</v>
      </c>
      <c r="Q44" s="24">
        <v>0.5</v>
      </c>
      <c r="R44" s="22">
        <f t="shared" si="5"/>
        <v>1.5</v>
      </c>
      <c r="S44" s="23">
        <f t="shared" si="8"/>
        <v>0.15117157974300835</v>
      </c>
      <c r="T44" s="23">
        <f t="shared" si="2"/>
        <v>4.7825553852244664E-2</v>
      </c>
    </row>
    <row r="45" spans="1:20" x14ac:dyDescent="0.25">
      <c r="A45" s="20">
        <v>7</v>
      </c>
      <c r="B45" s="24" t="s">
        <v>20</v>
      </c>
      <c r="C45" s="24">
        <v>0.6</v>
      </c>
      <c r="D45" s="22">
        <f t="shared" si="3"/>
        <v>1.6</v>
      </c>
      <c r="E45" s="23">
        <f t="shared" si="6"/>
        <v>0.23650591832410015</v>
      </c>
      <c r="F45" s="23">
        <f t="shared" si="0"/>
        <v>5.0572349279400144E-2</v>
      </c>
      <c r="H45" s="20">
        <v>7</v>
      </c>
      <c r="I45" s="24" t="s">
        <v>20</v>
      </c>
      <c r="J45" s="24">
        <v>0.4</v>
      </c>
      <c r="K45" s="22">
        <f t="shared" si="4"/>
        <v>1.4</v>
      </c>
      <c r="L45" s="23">
        <f t="shared" si="7"/>
        <v>9.4904033041788141E-2</v>
      </c>
      <c r="M45" s="23">
        <f t="shared" si="1"/>
        <v>3.0841251228974909E-2</v>
      </c>
      <c r="O45" s="20">
        <v>7</v>
      </c>
      <c r="P45" s="24" t="s">
        <v>18</v>
      </c>
      <c r="Q45" s="24">
        <v>0.6</v>
      </c>
      <c r="R45" s="22">
        <f t="shared" si="5"/>
        <v>1.6</v>
      </c>
      <c r="S45" s="23">
        <f t="shared" si="8"/>
        <v>9.4482237339380215E-2</v>
      </c>
      <c r="T45" s="23">
        <f t="shared" si="2"/>
        <v>2.9890971157652914E-2</v>
      </c>
    </row>
    <row r="46" spans="1:20" x14ac:dyDescent="0.25">
      <c r="A46" s="20">
        <v>8</v>
      </c>
      <c r="B46" s="24" t="s">
        <v>21</v>
      </c>
      <c r="C46" s="24">
        <v>0.2</v>
      </c>
      <c r="D46" s="22">
        <f t="shared" si="3"/>
        <v>1.2</v>
      </c>
      <c r="E46" s="23">
        <f t="shared" si="6"/>
        <v>0.19708826527008347</v>
      </c>
      <c r="F46" s="23">
        <f t="shared" si="0"/>
        <v>4.2143624399500118E-2</v>
      </c>
      <c r="H46" s="20">
        <v>8</v>
      </c>
      <c r="I46" s="24" t="s">
        <v>21</v>
      </c>
      <c r="J46" s="24">
        <v>0.4</v>
      </c>
      <c r="K46" s="22">
        <f t="shared" si="4"/>
        <v>1.4</v>
      </c>
      <c r="L46" s="23">
        <f t="shared" si="7"/>
        <v>6.7788595029848672E-2</v>
      </c>
      <c r="M46" s="23">
        <f t="shared" si="1"/>
        <v>2.2029465163553506E-2</v>
      </c>
      <c r="O46" s="20">
        <v>8</v>
      </c>
      <c r="P46" s="24" t="s">
        <v>21</v>
      </c>
      <c r="Q46" s="24">
        <v>0.4</v>
      </c>
      <c r="R46" s="22">
        <f t="shared" si="5"/>
        <v>1.4</v>
      </c>
      <c r="S46" s="23">
        <f t="shared" si="8"/>
        <v>6.7487312385271586E-2</v>
      </c>
      <c r="T46" s="23">
        <f t="shared" si="2"/>
        <v>2.1350693684037796E-2</v>
      </c>
    </row>
    <row r="47" spans="1:20" x14ac:dyDescent="0.25">
      <c r="A47" s="20">
        <v>9</v>
      </c>
      <c r="B47" s="24" t="s">
        <v>22</v>
      </c>
      <c r="C47" s="24">
        <v>0.7</v>
      </c>
      <c r="D47" s="22">
        <f t="shared" si="3"/>
        <v>1.7</v>
      </c>
      <c r="E47" s="23">
        <f t="shared" si="6"/>
        <v>0.11593427368828439</v>
      </c>
      <c r="F47" s="23">
        <f t="shared" si="0"/>
        <v>2.4790367293823602E-2</v>
      </c>
      <c r="H47" s="20">
        <v>9</v>
      </c>
      <c r="I47" s="24" t="s">
        <v>23</v>
      </c>
      <c r="J47" s="24">
        <v>0.6</v>
      </c>
      <c r="K47" s="22">
        <f t="shared" si="4"/>
        <v>1.6</v>
      </c>
      <c r="L47" s="23">
        <f t="shared" si="7"/>
        <v>4.2367871893655415E-2</v>
      </c>
      <c r="M47" s="23">
        <f t="shared" si="1"/>
        <v>1.3768415727220939E-2</v>
      </c>
      <c r="O47" s="20">
        <v>9</v>
      </c>
      <c r="P47" s="24" t="s">
        <v>24</v>
      </c>
      <c r="Q47" s="24">
        <v>0.6</v>
      </c>
      <c r="R47" s="22">
        <f t="shared" si="5"/>
        <v>1.6</v>
      </c>
      <c r="S47" s="23">
        <f t="shared" si="8"/>
        <v>4.2179570240794738E-2</v>
      </c>
      <c r="T47" s="23">
        <f t="shared" si="2"/>
        <v>1.3344183552523621E-2</v>
      </c>
    </row>
    <row r="48" spans="1:20" x14ac:dyDescent="0.25">
      <c r="A48" s="20">
        <v>10</v>
      </c>
      <c r="B48" s="24" t="s">
        <v>23</v>
      </c>
      <c r="C48" s="24">
        <v>0.9</v>
      </c>
      <c r="D48" s="22">
        <f t="shared" si="3"/>
        <v>1.9</v>
      </c>
      <c r="E48" s="23">
        <f t="shared" si="6"/>
        <v>6.1018038783307575E-2</v>
      </c>
      <c r="F48" s="23">
        <f t="shared" si="0"/>
        <v>1.3047561733591369E-2</v>
      </c>
      <c r="H48" s="20">
        <v>10</v>
      </c>
      <c r="I48" s="24" t="s">
        <v>24</v>
      </c>
      <c r="J48" s="24">
        <v>0.5</v>
      </c>
      <c r="K48" s="22">
        <f t="shared" si="4"/>
        <v>1.5</v>
      </c>
      <c r="L48" s="23">
        <f t="shared" si="7"/>
        <v>2.8245247929103611E-2</v>
      </c>
      <c r="M48" s="23">
        <f t="shared" si="1"/>
        <v>9.1789438181472931E-3</v>
      </c>
      <c r="O48" s="20">
        <v>10</v>
      </c>
      <c r="P48" s="24" t="s">
        <v>20</v>
      </c>
      <c r="Q48" s="24">
        <v>0.5</v>
      </c>
      <c r="R48" s="22">
        <f t="shared" si="5"/>
        <v>1.5</v>
      </c>
      <c r="S48" s="23">
        <f t="shared" si="8"/>
        <v>2.811971349386316E-2</v>
      </c>
      <c r="T48" s="23">
        <f t="shared" si="2"/>
        <v>8.8961223683490815E-3</v>
      </c>
    </row>
    <row r="49" spans="1:20" x14ac:dyDescent="0.25">
      <c r="A49" s="20">
        <v>11</v>
      </c>
      <c r="B49" s="24" t="s">
        <v>24</v>
      </c>
      <c r="C49" s="24">
        <v>0.3</v>
      </c>
      <c r="D49" s="22">
        <f t="shared" si="3"/>
        <v>1.3</v>
      </c>
      <c r="E49" s="23">
        <f t="shared" si="6"/>
        <v>4.6936952910236591E-2</v>
      </c>
      <c r="F49" s="23">
        <f t="shared" si="0"/>
        <v>1.0036585948916436E-2</v>
      </c>
      <c r="H49" s="20">
        <v>11</v>
      </c>
      <c r="I49" s="24" t="s">
        <v>22</v>
      </c>
      <c r="J49" s="24">
        <v>0.5</v>
      </c>
      <c r="K49" s="22">
        <f t="shared" si="4"/>
        <v>1.5</v>
      </c>
      <c r="L49" s="23">
        <f t="shared" si="7"/>
        <v>1.8830165286069074E-2</v>
      </c>
      <c r="M49" s="23">
        <f t="shared" si="1"/>
        <v>6.1192958787648624E-3</v>
      </c>
      <c r="O49" s="20">
        <v>11</v>
      </c>
      <c r="P49" s="24" t="s">
        <v>16</v>
      </c>
      <c r="Q49" s="24">
        <v>0.4</v>
      </c>
      <c r="R49" s="22">
        <f t="shared" si="5"/>
        <v>1.4</v>
      </c>
      <c r="S49" s="23">
        <f t="shared" si="8"/>
        <v>2.0085509638473689E-2</v>
      </c>
      <c r="T49" s="23">
        <f t="shared" si="2"/>
        <v>6.3543731202493452E-3</v>
      </c>
    </row>
    <row r="50" spans="1:20" x14ac:dyDescent="0.25">
      <c r="A50" s="19"/>
      <c r="B50" s="19"/>
      <c r="C50" s="19"/>
      <c r="D50" s="19"/>
      <c r="E50" s="23">
        <f>SUM(E39:E49)</f>
        <v>4.6765855589872141</v>
      </c>
      <c r="F50" s="19"/>
      <c r="H50" s="19"/>
      <c r="I50" s="19"/>
      <c r="J50" s="19"/>
      <c r="K50" s="19"/>
      <c r="L50" s="23">
        <f>SUM(L39:L49)</f>
        <v>3.0771784301872676</v>
      </c>
      <c r="M50" s="19"/>
      <c r="O50" s="19"/>
      <c r="P50" s="19"/>
      <c r="Q50" s="19"/>
      <c r="R50" s="19"/>
      <c r="S50" s="23">
        <f>SUM(S39:S49)</f>
        <v>3.1608955373532637</v>
      </c>
      <c r="T50" s="19"/>
    </row>
    <row r="51" spans="1:20" x14ac:dyDescent="0.25">
      <c r="A51" s="5" t="s">
        <v>29</v>
      </c>
      <c r="B51" s="5"/>
      <c r="C51" s="5"/>
      <c r="D51" s="5"/>
      <c r="H51" s="5" t="s">
        <v>30</v>
      </c>
      <c r="I51" s="5"/>
      <c r="J51" s="5"/>
      <c r="K51" s="5"/>
      <c r="O51" s="10"/>
      <c r="P51" s="10"/>
      <c r="Q51" s="10"/>
      <c r="R51" s="10"/>
      <c r="S51" s="10"/>
      <c r="T51" s="10"/>
    </row>
    <row r="52" spans="1:20" x14ac:dyDescent="0.25">
      <c r="A52" s="20" t="s">
        <v>25</v>
      </c>
      <c r="B52" s="19" t="s">
        <v>37</v>
      </c>
      <c r="C52" s="19" t="s">
        <v>9</v>
      </c>
      <c r="D52" s="19" t="s">
        <v>11</v>
      </c>
      <c r="E52" s="19" t="s">
        <v>12</v>
      </c>
      <c r="F52" s="19" t="s">
        <v>13</v>
      </c>
      <c r="H52" s="20" t="s">
        <v>25</v>
      </c>
      <c r="I52" s="19" t="s">
        <v>37</v>
      </c>
      <c r="J52" s="19" t="s">
        <v>9</v>
      </c>
      <c r="K52" s="19" t="s">
        <v>11</v>
      </c>
      <c r="L52" s="19" t="s">
        <v>12</v>
      </c>
      <c r="M52" s="19" t="s">
        <v>13</v>
      </c>
      <c r="O52" s="10"/>
      <c r="P52" s="10"/>
      <c r="Q52" s="10"/>
      <c r="R52" s="10"/>
      <c r="S52" s="10"/>
      <c r="T52" s="10"/>
    </row>
    <row r="53" spans="1:20" x14ac:dyDescent="0.25">
      <c r="A53" s="20">
        <v>1</v>
      </c>
      <c r="B53" s="24" t="s">
        <v>24</v>
      </c>
      <c r="C53" s="21"/>
      <c r="D53" s="22">
        <v>1</v>
      </c>
      <c r="E53" s="23">
        <v>1</v>
      </c>
      <c r="F53" s="23">
        <f>E53/$E$64</f>
        <v>0.33339657473101009</v>
      </c>
      <c r="H53" s="20">
        <v>1</v>
      </c>
      <c r="I53" s="24" t="s">
        <v>16</v>
      </c>
      <c r="J53" s="19"/>
      <c r="K53" s="22">
        <v>1</v>
      </c>
      <c r="L53" s="23">
        <v>1</v>
      </c>
      <c r="M53" s="23">
        <f>L53/$L$64</f>
        <v>0.37421416873230928</v>
      </c>
      <c r="O53" s="6"/>
      <c r="P53" s="9"/>
      <c r="Q53" s="9"/>
      <c r="R53" s="11"/>
      <c r="S53" s="12"/>
      <c r="T53" s="12"/>
    </row>
    <row r="54" spans="1:20" x14ac:dyDescent="0.25">
      <c r="A54" s="20">
        <v>2</v>
      </c>
      <c r="B54" s="24" t="s">
        <v>20</v>
      </c>
      <c r="C54" s="24">
        <v>0.4</v>
      </c>
      <c r="D54" s="22">
        <f>1+C54</f>
        <v>1.4</v>
      </c>
      <c r="E54" s="23">
        <f>E53/D54</f>
        <v>0.7142857142857143</v>
      </c>
      <c r="F54" s="23">
        <f t="shared" ref="F54:F63" si="9">E54/$E$64</f>
        <v>0.23814041052215004</v>
      </c>
      <c r="H54" s="20">
        <v>2</v>
      </c>
      <c r="I54" s="24" t="s">
        <v>15</v>
      </c>
      <c r="J54" s="24">
        <v>0.5</v>
      </c>
      <c r="K54" s="22">
        <f>1+J54</f>
        <v>1.5</v>
      </c>
      <c r="L54" s="23">
        <f>L53/K54</f>
        <v>0.66666666666666663</v>
      </c>
      <c r="M54" s="23">
        <f t="shared" ref="M54:M63" si="10">L54/$L$64</f>
        <v>0.2494761124882062</v>
      </c>
      <c r="O54" s="6"/>
      <c r="P54" s="9"/>
      <c r="Q54" s="9"/>
      <c r="R54" s="11"/>
      <c r="S54" s="12"/>
      <c r="T54" s="12"/>
    </row>
    <row r="55" spans="1:20" x14ac:dyDescent="0.25">
      <c r="A55" s="20">
        <v>3</v>
      </c>
      <c r="B55" s="24" t="s">
        <v>21</v>
      </c>
      <c r="C55" s="24">
        <v>0.6</v>
      </c>
      <c r="D55" s="22">
        <f t="shared" ref="D55:D63" si="11">1+C55</f>
        <v>1.6</v>
      </c>
      <c r="E55" s="23">
        <f>E54/D55</f>
        <v>0.4464285714285714</v>
      </c>
      <c r="F55" s="23">
        <f t="shared" si="9"/>
        <v>0.14883775657634377</v>
      </c>
      <c r="H55" s="20">
        <v>3</v>
      </c>
      <c r="I55" s="24" t="s">
        <v>24</v>
      </c>
      <c r="J55" s="24">
        <v>0.7</v>
      </c>
      <c r="K55" s="22">
        <f t="shared" ref="K55:K63" si="12">1+J55</f>
        <v>1.7</v>
      </c>
      <c r="L55" s="23">
        <f>L54/K55</f>
        <v>0.39215686274509803</v>
      </c>
      <c r="M55" s="23">
        <f t="shared" si="10"/>
        <v>0.14675065440482718</v>
      </c>
      <c r="O55" s="6"/>
      <c r="P55" s="9"/>
      <c r="Q55" s="9"/>
      <c r="R55" s="11"/>
      <c r="S55" s="12"/>
      <c r="T55" s="12"/>
    </row>
    <row r="56" spans="1:20" x14ac:dyDescent="0.25">
      <c r="A56" s="20">
        <v>4</v>
      </c>
      <c r="B56" s="24" t="s">
        <v>22</v>
      </c>
      <c r="C56" s="24">
        <v>0.6</v>
      </c>
      <c r="D56" s="22">
        <f t="shared" si="11"/>
        <v>1.6</v>
      </c>
      <c r="E56" s="23">
        <f t="shared" ref="E56:E63" si="13">E55/D56</f>
        <v>0.2790178571428571</v>
      </c>
      <c r="F56" s="23">
        <f t="shared" si="9"/>
        <v>9.3023597860214843E-2</v>
      </c>
      <c r="H56" s="20">
        <v>4</v>
      </c>
      <c r="I56" s="24" t="s">
        <v>23</v>
      </c>
      <c r="J56" s="24">
        <v>0.6</v>
      </c>
      <c r="K56" s="22">
        <f t="shared" si="12"/>
        <v>1.6</v>
      </c>
      <c r="L56" s="23">
        <f t="shared" ref="L56:L63" si="14">L55/K56</f>
        <v>0.24509803921568626</v>
      </c>
      <c r="M56" s="23">
        <f t="shared" si="10"/>
        <v>9.1719159003016984E-2</v>
      </c>
      <c r="O56" s="6"/>
      <c r="P56" s="9"/>
      <c r="Q56" s="9"/>
      <c r="R56" s="11"/>
      <c r="S56" s="12"/>
      <c r="T56" s="12"/>
    </row>
    <row r="57" spans="1:20" x14ac:dyDescent="0.25">
      <c r="A57" s="20">
        <v>5</v>
      </c>
      <c r="B57" s="24" t="s">
        <v>23</v>
      </c>
      <c r="C57" s="24">
        <v>0.4</v>
      </c>
      <c r="D57" s="22">
        <f t="shared" si="11"/>
        <v>1.4</v>
      </c>
      <c r="E57" s="23">
        <f t="shared" si="13"/>
        <v>0.19929846938775508</v>
      </c>
      <c r="F57" s="23">
        <f t="shared" si="9"/>
        <v>6.644542704301061E-2</v>
      </c>
      <c r="H57" s="20">
        <v>5</v>
      </c>
      <c r="I57" s="24" t="s">
        <v>18</v>
      </c>
      <c r="J57" s="24">
        <v>0.7</v>
      </c>
      <c r="K57" s="22">
        <f t="shared" si="12"/>
        <v>1.7</v>
      </c>
      <c r="L57" s="23">
        <f t="shared" si="14"/>
        <v>0.14417531718569782</v>
      </c>
      <c r="M57" s="23">
        <f t="shared" si="10"/>
        <v>5.3952446472362935E-2</v>
      </c>
      <c r="O57" s="6"/>
      <c r="P57" s="9"/>
      <c r="Q57" s="9"/>
      <c r="R57" s="11"/>
      <c r="S57" s="12"/>
      <c r="T57" s="12"/>
    </row>
    <row r="58" spans="1:20" x14ac:dyDescent="0.25">
      <c r="A58" s="20">
        <v>6</v>
      </c>
      <c r="B58" s="24" t="s">
        <v>16</v>
      </c>
      <c r="C58" s="24">
        <v>0.4</v>
      </c>
      <c r="D58" s="22">
        <f t="shared" si="11"/>
        <v>1.4</v>
      </c>
      <c r="E58" s="23">
        <f t="shared" si="13"/>
        <v>0.14235604956268222</v>
      </c>
      <c r="F58" s="23">
        <f t="shared" si="9"/>
        <v>4.7461019316436155E-2</v>
      </c>
      <c r="H58" s="20">
        <v>6</v>
      </c>
      <c r="I58" s="24" t="s">
        <v>22</v>
      </c>
      <c r="J58" s="24">
        <v>0.7</v>
      </c>
      <c r="K58" s="22">
        <f t="shared" si="12"/>
        <v>1.7</v>
      </c>
      <c r="L58" s="23">
        <f t="shared" si="14"/>
        <v>8.4809010109234015E-2</v>
      </c>
      <c r="M58" s="23">
        <f t="shared" si="10"/>
        <v>3.1736733219037021E-2</v>
      </c>
      <c r="O58" s="6"/>
      <c r="P58" s="9"/>
      <c r="Q58" s="9"/>
      <c r="R58" s="11"/>
      <c r="S58" s="12"/>
      <c r="T58" s="12"/>
    </row>
    <row r="59" spans="1:20" x14ac:dyDescent="0.25">
      <c r="A59" s="20">
        <v>7</v>
      </c>
      <c r="B59" s="24" t="s">
        <v>17</v>
      </c>
      <c r="C59" s="24">
        <v>0.7</v>
      </c>
      <c r="D59" s="22">
        <f t="shared" si="11"/>
        <v>1.7</v>
      </c>
      <c r="E59" s="23">
        <f t="shared" si="13"/>
        <v>8.373885268393072E-2</v>
      </c>
      <c r="F59" s="23">
        <f t="shared" si="9"/>
        <v>2.7918246656727153E-2</v>
      </c>
      <c r="H59" s="20">
        <v>7</v>
      </c>
      <c r="I59" s="24" t="s">
        <v>14</v>
      </c>
      <c r="J59" s="24">
        <v>0.5</v>
      </c>
      <c r="K59" s="22">
        <f t="shared" si="12"/>
        <v>1.5</v>
      </c>
      <c r="L59" s="23">
        <f t="shared" si="14"/>
        <v>5.6539340072822679E-2</v>
      </c>
      <c r="M59" s="23">
        <f t="shared" si="10"/>
        <v>2.1157822146024682E-2</v>
      </c>
      <c r="O59" s="6"/>
      <c r="P59" s="9"/>
      <c r="Q59" s="9"/>
      <c r="R59" s="11"/>
      <c r="S59" s="12"/>
      <c r="T59" s="12"/>
    </row>
    <row r="60" spans="1:20" x14ac:dyDescent="0.25">
      <c r="A60" s="20">
        <v>8</v>
      </c>
      <c r="B60" s="24" t="s">
        <v>18</v>
      </c>
      <c r="C60" s="24">
        <v>0.4</v>
      </c>
      <c r="D60" s="22">
        <f t="shared" si="11"/>
        <v>1.4</v>
      </c>
      <c r="E60" s="23">
        <f t="shared" si="13"/>
        <v>5.9813466202807662E-2</v>
      </c>
      <c r="F60" s="23">
        <f t="shared" si="9"/>
        <v>1.9941604754805109E-2</v>
      </c>
      <c r="H60" s="20">
        <v>8</v>
      </c>
      <c r="I60" s="24" t="s">
        <v>20</v>
      </c>
      <c r="J60" s="24">
        <v>0.6</v>
      </c>
      <c r="K60" s="22">
        <f t="shared" si="12"/>
        <v>1.6</v>
      </c>
      <c r="L60" s="23">
        <f t="shared" si="14"/>
        <v>3.5337087545514172E-2</v>
      </c>
      <c r="M60" s="23">
        <f t="shared" si="10"/>
        <v>1.3223638841265426E-2</v>
      </c>
      <c r="O60" s="6"/>
      <c r="P60" s="9"/>
      <c r="Q60" s="9"/>
      <c r="R60" s="11"/>
      <c r="S60" s="12"/>
      <c r="T60" s="12"/>
    </row>
    <row r="61" spans="1:20" x14ac:dyDescent="0.25">
      <c r="A61" s="20">
        <v>9</v>
      </c>
      <c r="B61" s="24" t="s">
        <v>19</v>
      </c>
      <c r="C61" s="24">
        <v>0.6</v>
      </c>
      <c r="D61" s="22">
        <f t="shared" si="11"/>
        <v>1.6</v>
      </c>
      <c r="E61" s="23">
        <f t="shared" si="13"/>
        <v>3.738341637675479E-2</v>
      </c>
      <c r="F61" s="23">
        <f t="shared" si="9"/>
        <v>1.2463502971753193E-2</v>
      </c>
      <c r="H61" s="20">
        <v>9</v>
      </c>
      <c r="I61" s="24" t="s">
        <v>21</v>
      </c>
      <c r="J61" s="24">
        <v>0.5</v>
      </c>
      <c r="K61" s="22">
        <f t="shared" si="12"/>
        <v>1.5</v>
      </c>
      <c r="L61" s="23">
        <f t="shared" si="14"/>
        <v>2.3558058363676113E-2</v>
      </c>
      <c r="M61" s="23">
        <f t="shared" si="10"/>
        <v>8.8157592275102843E-3</v>
      </c>
      <c r="O61" s="6"/>
      <c r="P61" s="9"/>
      <c r="Q61" s="9"/>
      <c r="R61" s="11"/>
      <c r="S61" s="12"/>
      <c r="T61" s="12"/>
    </row>
    <row r="62" spans="1:20" x14ac:dyDescent="0.25">
      <c r="A62" s="20">
        <v>10</v>
      </c>
      <c r="B62" s="24" t="s">
        <v>14</v>
      </c>
      <c r="C62" s="24">
        <v>0.6</v>
      </c>
      <c r="D62" s="22">
        <f t="shared" si="11"/>
        <v>1.6</v>
      </c>
      <c r="E62" s="23">
        <f t="shared" si="13"/>
        <v>2.3364635235471741E-2</v>
      </c>
      <c r="F62" s="23">
        <f t="shared" si="9"/>
        <v>7.7896893573457448E-3</v>
      </c>
      <c r="H62" s="20">
        <v>10</v>
      </c>
      <c r="I62" s="24" t="s">
        <v>17</v>
      </c>
      <c r="J62" s="24">
        <v>0.6</v>
      </c>
      <c r="K62" s="22">
        <f t="shared" si="12"/>
        <v>1.6</v>
      </c>
      <c r="L62" s="23">
        <f t="shared" si="14"/>
        <v>1.472378647729757E-2</v>
      </c>
      <c r="M62" s="23">
        <f t="shared" si="10"/>
        <v>5.5098495171939273E-3</v>
      </c>
      <c r="O62" s="6"/>
      <c r="P62" s="9"/>
      <c r="Q62" s="9"/>
      <c r="R62" s="11"/>
      <c r="S62" s="12"/>
      <c r="T62" s="12"/>
    </row>
    <row r="63" spans="1:20" x14ac:dyDescent="0.25">
      <c r="A63" s="20">
        <v>11</v>
      </c>
      <c r="B63" s="24" t="s">
        <v>15</v>
      </c>
      <c r="C63" s="24">
        <v>0.7</v>
      </c>
      <c r="D63" s="22">
        <f t="shared" si="11"/>
        <v>1.7</v>
      </c>
      <c r="E63" s="23">
        <f t="shared" si="13"/>
        <v>1.374390307968926E-2</v>
      </c>
      <c r="F63" s="23">
        <f t="shared" si="9"/>
        <v>4.5821702102033799E-3</v>
      </c>
      <c r="H63" s="20">
        <v>11</v>
      </c>
      <c r="I63" s="24" t="s">
        <v>19</v>
      </c>
      <c r="J63" s="24">
        <v>0.6</v>
      </c>
      <c r="K63" s="22">
        <f t="shared" si="12"/>
        <v>1.6</v>
      </c>
      <c r="L63" s="23">
        <f t="shared" si="14"/>
        <v>9.2023665483109817E-3</v>
      </c>
      <c r="M63" s="23">
        <f t="shared" si="10"/>
        <v>3.4436559482462045E-3</v>
      </c>
      <c r="O63" s="6"/>
      <c r="P63" s="9"/>
      <c r="Q63" s="9"/>
      <c r="R63" s="11"/>
      <c r="S63" s="12"/>
      <c r="T63" s="12"/>
    </row>
    <row r="64" spans="1:20" x14ac:dyDescent="0.25">
      <c r="A64" s="19"/>
      <c r="B64" s="19"/>
      <c r="C64" s="19"/>
      <c r="D64" s="19"/>
      <c r="E64" s="23">
        <f>SUM(E53:E63)</f>
        <v>2.9994309353862341</v>
      </c>
      <c r="F64" s="19"/>
      <c r="H64" s="19"/>
      <c r="I64" s="19"/>
      <c r="J64" s="19"/>
      <c r="K64" s="19"/>
      <c r="L64" s="23">
        <f>SUM(L53:L63)</f>
        <v>2.6722665349300039</v>
      </c>
      <c r="M64" s="19"/>
      <c r="O64" s="10"/>
      <c r="P64" s="10"/>
      <c r="Q64" s="10"/>
      <c r="R64" s="10"/>
      <c r="S64" s="12"/>
      <c r="T64" s="10"/>
    </row>
    <row r="65" spans="1:20" x14ac:dyDescent="0.25">
      <c r="O65" s="10"/>
      <c r="P65" s="10"/>
      <c r="Q65" s="10"/>
      <c r="R65" s="10"/>
      <c r="S65" s="10"/>
      <c r="T65" s="10"/>
    </row>
    <row r="66" spans="1:20" x14ac:dyDescent="0.25">
      <c r="A66" s="65" t="s">
        <v>41</v>
      </c>
      <c r="B66" s="65"/>
      <c r="C66" s="65"/>
      <c r="D66" s="65"/>
      <c r="E66" s="65"/>
    </row>
    <row r="67" spans="1:20" x14ac:dyDescent="0.25">
      <c r="A67" s="27" t="s">
        <v>38</v>
      </c>
      <c r="B67" s="27" t="s">
        <v>26</v>
      </c>
      <c r="C67" s="27" t="s">
        <v>27</v>
      </c>
      <c r="D67" s="27" t="s">
        <v>28</v>
      </c>
      <c r="E67" s="27" t="s">
        <v>29</v>
      </c>
      <c r="F67" s="27" t="s">
        <v>30</v>
      </c>
      <c r="G67" s="25" t="s">
        <v>39</v>
      </c>
      <c r="H67" s="25" t="s">
        <v>40</v>
      </c>
    </row>
    <row r="68" spans="1:20" x14ac:dyDescent="0.25">
      <c r="A68" s="28" t="s">
        <v>23</v>
      </c>
      <c r="B68" s="28">
        <v>1.2999999999999999E-2</v>
      </c>
      <c r="C68" s="28">
        <v>1.4E-2</v>
      </c>
      <c r="D68" s="28">
        <v>7.1999999999999995E-2</v>
      </c>
      <c r="E68" s="28">
        <v>6.6000000000000003E-2</v>
      </c>
      <c r="F68" s="28">
        <v>9.1999999999999998E-2</v>
      </c>
      <c r="G68" s="26">
        <f t="shared" ref="G68:G78" si="15">GEOMEAN(B68:F68)</f>
        <v>3.8031821798280151E-2</v>
      </c>
      <c r="H68" s="26">
        <f t="shared" ref="H68:H78" si="16">AVERAGE(B68:F68)</f>
        <v>5.1400000000000001E-2</v>
      </c>
    </row>
    <row r="69" spans="1:20" x14ac:dyDescent="0.25">
      <c r="A69" s="28" t="s">
        <v>22</v>
      </c>
      <c r="B69" s="28">
        <v>2.5000000000000001E-2</v>
      </c>
      <c r="C69" s="28">
        <v>6.0000000000000001E-3</v>
      </c>
      <c r="D69" s="28">
        <v>4.8000000000000001E-2</v>
      </c>
      <c r="E69" s="28">
        <v>9.2999999999999999E-2</v>
      </c>
      <c r="F69" s="28">
        <v>3.2000000000000001E-2</v>
      </c>
      <c r="G69" s="26">
        <f t="shared" si="15"/>
        <v>2.9254527270847566E-2</v>
      </c>
      <c r="H69" s="26">
        <f t="shared" si="16"/>
        <v>4.0799999999999996E-2</v>
      </c>
    </row>
    <row r="70" spans="1:20" x14ac:dyDescent="0.25">
      <c r="A70" s="28" t="s">
        <v>21</v>
      </c>
      <c r="B70" s="28">
        <v>4.2000000000000003E-2</v>
      </c>
      <c r="C70" s="28">
        <v>2.1999999999999999E-2</v>
      </c>
      <c r="D70" s="28">
        <v>2.1000000000000001E-2</v>
      </c>
      <c r="E70" s="28">
        <v>0.14899999999999999</v>
      </c>
      <c r="F70" s="28">
        <v>8.9999999999999993E-3</v>
      </c>
      <c r="G70" s="26">
        <f t="shared" si="15"/>
        <v>3.0413332414281329E-2</v>
      </c>
      <c r="H70" s="26">
        <f t="shared" si="16"/>
        <v>4.8599999999999997E-2</v>
      </c>
    </row>
    <row r="71" spans="1:20" x14ac:dyDescent="0.25">
      <c r="A71" s="28" t="s">
        <v>24</v>
      </c>
      <c r="B71" s="28">
        <v>0.01</v>
      </c>
      <c r="C71" s="28">
        <v>8.9999999999999993E-3</v>
      </c>
      <c r="D71" s="28">
        <v>1.2999999999999999E-2</v>
      </c>
      <c r="E71" s="28">
        <v>0.33300000000000002</v>
      </c>
      <c r="F71" s="28">
        <v>0.14699999999999999</v>
      </c>
      <c r="G71" s="26">
        <f t="shared" si="15"/>
        <v>3.5611435953077579E-2</v>
      </c>
      <c r="H71" s="26">
        <f t="shared" si="16"/>
        <v>0.1024</v>
      </c>
    </row>
    <row r="72" spans="1:20" x14ac:dyDescent="0.25">
      <c r="A72" s="28" t="s">
        <v>20</v>
      </c>
      <c r="B72" s="28">
        <v>5.0999999999999997E-2</v>
      </c>
      <c r="C72" s="28">
        <v>3.1E-2</v>
      </c>
      <c r="D72" s="28">
        <v>8.9999999999999993E-3</v>
      </c>
      <c r="E72" s="28">
        <v>0.23799999999999999</v>
      </c>
      <c r="F72" s="28">
        <v>1.2999999999999999E-2</v>
      </c>
      <c r="G72" s="26">
        <f t="shared" si="15"/>
        <v>3.3786168039656887E-2</v>
      </c>
      <c r="H72" s="26">
        <f t="shared" si="16"/>
        <v>6.8399999999999989E-2</v>
      </c>
    </row>
    <row r="73" spans="1:20" x14ac:dyDescent="0.25">
      <c r="A73" s="28" t="s">
        <v>16</v>
      </c>
      <c r="B73" s="28">
        <v>0.13900000000000001</v>
      </c>
      <c r="C73" s="28">
        <v>6.9000000000000006E-2</v>
      </c>
      <c r="D73" s="28">
        <v>6.0000000000000001E-3</v>
      </c>
      <c r="E73" s="28">
        <v>4.7E-2</v>
      </c>
      <c r="F73" s="28">
        <v>0.374</v>
      </c>
      <c r="G73" s="26">
        <f t="shared" si="15"/>
        <v>6.3240736679136128E-2</v>
      </c>
      <c r="H73" s="26">
        <f t="shared" si="16"/>
        <v>0.127</v>
      </c>
    </row>
    <row r="74" spans="1:20" x14ac:dyDescent="0.25">
      <c r="A74" s="28" t="s">
        <v>18</v>
      </c>
      <c r="B74" s="28">
        <v>0.105</v>
      </c>
      <c r="C74" s="28">
        <v>4.2999999999999997E-2</v>
      </c>
      <c r="D74" s="28">
        <v>0.03</v>
      </c>
      <c r="E74" s="28">
        <v>0.02</v>
      </c>
      <c r="F74" s="28">
        <v>5.3999999999999999E-2</v>
      </c>
      <c r="G74" s="26">
        <f t="shared" si="15"/>
        <v>4.2957653731744996E-2</v>
      </c>
      <c r="H74" s="26">
        <f t="shared" si="16"/>
        <v>5.04E-2</v>
      </c>
    </row>
    <row r="75" spans="1:20" x14ac:dyDescent="0.25">
      <c r="A75" s="28" t="s">
        <v>19</v>
      </c>
      <c r="B75" s="28">
        <v>8.1000000000000003E-2</v>
      </c>
      <c r="C75" s="28">
        <v>0.104</v>
      </c>
      <c r="D75" s="28">
        <v>0.108</v>
      </c>
      <c r="E75" s="28">
        <v>1.2E-2</v>
      </c>
      <c r="F75" s="28">
        <v>3.0000000000000001E-3</v>
      </c>
      <c r="G75" s="26">
        <f t="shared" si="15"/>
        <v>3.1845562389433271E-2</v>
      </c>
      <c r="H75" s="26">
        <f t="shared" si="16"/>
        <v>6.1600000000000002E-2</v>
      </c>
    </row>
    <row r="76" spans="1:20" x14ac:dyDescent="0.25">
      <c r="A76" s="28" t="s">
        <v>15</v>
      </c>
      <c r="B76" s="28">
        <v>0.19400000000000001</v>
      </c>
      <c r="C76" s="28">
        <v>0.14499999999999999</v>
      </c>
      <c r="D76" s="28">
        <v>0.151</v>
      </c>
      <c r="E76" s="28">
        <v>5.0000000000000001E-3</v>
      </c>
      <c r="F76" s="28">
        <v>0.249</v>
      </c>
      <c r="G76" s="26">
        <f t="shared" si="15"/>
        <v>8.8036588760951093E-2</v>
      </c>
      <c r="H76" s="26">
        <f t="shared" si="16"/>
        <v>0.14879999999999999</v>
      </c>
    </row>
    <row r="77" spans="1:20" x14ac:dyDescent="0.25">
      <c r="A77" s="28" t="s">
        <v>14</v>
      </c>
      <c r="B77" s="28">
        <v>0.214</v>
      </c>
      <c r="C77" s="28">
        <v>0.32500000000000001</v>
      </c>
      <c r="D77" s="28">
        <v>0.316</v>
      </c>
      <c r="E77" s="28">
        <v>8.0000000000000002E-3</v>
      </c>
      <c r="F77" s="28">
        <v>2.1000000000000001E-2</v>
      </c>
      <c r="G77" s="26">
        <f t="shared" si="15"/>
        <v>8.1932970337068367E-2</v>
      </c>
      <c r="H77" s="26">
        <f t="shared" si="16"/>
        <v>0.17680000000000001</v>
      </c>
    </row>
    <row r="78" spans="1:20" x14ac:dyDescent="0.25">
      <c r="A78" s="28" t="s">
        <v>17</v>
      </c>
      <c r="B78" s="28">
        <v>0.126</v>
      </c>
      <c r="C78" s="28">
        <v>0.23200000000000001</v>
      </c>
      <c r="D78" s="28">
        <v>0.22600000000000001</v>
      </c>
      <c r="E78" s="28">
        <v>2.8000000000000001E-2</v>
      </c>
      <c r="F78" s="28">
        <v>6.0000000000000001E-3</v>
      </c>
      <c r="G78" s="26">
        <f t="shared" si="15"/>
        <v>6.442512208035199E-2</v>
      </c>
      <c r="H78" s="26">
        <f t="shared" si="16"/>
        <v>0.1236</v>
      </c>
    </row>
  </sheetData>
  <mergeCells count="8">
    <mergeCell ref="A66:E66"/>
    <mergeCell ref="L22:M22"/>
    <mergeCell ref="A1:F1"/>
    <mergeCell ref="B22:C22"/>
    <mergeCell ref="D22:E22"/>
    <mergeCell ref="F22:G22"/>
    <mergeCell ref="H22:I22"/>
    <mergeCell ref="J22:K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3"/>
  <sheetViews>
    <sheetView tabSelected="1" topLeftCell="A22" zoomScale="50" zoomScaleNormal="50" workbookViewId="0">
      <selection activeCell="M77" sqref="M77"/>
    </sheetView>
  </sheetViews>
  <sheetFormatPr defaultRowHeight="15" x14ac:dyDescent="0.25"/>
  <cols>
    <col min="1" max="1" width="8.7109375" customWidth="1"/>
  </cols>
  <sheetData>
    <row r="1" spans="1:7" x14ac:dyDescent="0.25">
      <c r="A1" s="67" t="s">
        <v>34</v>
      </c>
      <c r="B1" s="67"/>
      <c r="C1" s="67"/>
      <c r="D1" s="67"/>
      <c r="E1" s="67"/>
      <c r="F1" s="67"/>
    </row>
    <row r="4" spans="1:7" x14ac:dyDescent="0.25">
      <c r="A4" s="69" t="s">
        <v>42</v>
      </c>
      <c r="B4" s="70"/>
      <c r="C4" s="70"/>
      <c r="D4" s="70"/>
      <c r="E4" s="70"/>
      <c r="F4" s="71"/>
    </row>
    <row r="6" spans="1:7" x14ac:dyDescent="0.25">
      <c r="A6" s="29" t="s">
        <v>33</v>
      </c>
      <c r="B6" s="30" t="s">
        <v>26</v>
      </c>
      <c r="C6" s="30" t="s">
        <v>27</v>
      </c>
      <c r="D6" s="30" t="s">
        <v>28</v>
      </c>
      <c r="E6" s="30" t="s">
        <v>29</v>
      </c>
      <c r="F6" s="30" t="s">
        <v>30</v>
      </c>
      <c r="G6" s="6"/>
    </row>
    <row r="7" spans="1:7" x14ac:dyDescent="0.25">
      <c r="A7" s="29" t="s">
        <v>0</v>
      </c>
      <c r="B7" s="29">
        <v>2</v>
      </c>
      <c r="C7" s="29">
        <v>3</v>
      </c>
      <c r="D7" s="29">
        <v>2</v>
      </c>
      <c r="E7" s="29">
        <v>2</v>
      </c>
      <c r="F7" s="29">
        <v>3</v>
      </c>
      <c r="G7" s="6"/>
    </row>
    <row r="8" spans="1:7" x14ac:dyDescent="0.25">
      <c r="A8" s="29" t="s">
        <v>1</v>
      </c>
      <c r="B8" s="29">
        <v>3</v>
      </c>
      <c r="C8" s="29">
        <v>10</v>
      </c>
      <c r="D8" s="29">
        <v>3</v>
      </c>
      <c r="E8" s="29">
        <v>3</v>
      </c>
      <c r="F8" s="29">
        <v>10</v>
      </c>
      <c r="G8" s="6"/>
    </row>
    <row r="9" spans="1:7" x14ac:dyDescent="0.25">
      <c r="A9" s="29" t="s">
        <v>2</v>
      </c>
      <c r="B9" s="29">
        <v>6</v>
      </c>
      <c r="C9" s="29">
        <v>5</v>
      </c>
      <c r="D9" s="29">
        <v>5</v>
      </c>
      <c r="E9" s="29">
        <v>5</v>
      </c>
      <c r="F9" s="29">
        <v>6</v>
      </c>
      <c r="G9" s="6"/>
    </row>
    <row r="10" spans="1:7" x14ac:dyDescent="0.25">
      <c r="A10" s="29" t="s">
        <v>3</v>
      </c>
      <c r="B10" s="29">
        <v>7</v>
      </c>
      <c r="C10" s="29">
        <v>6</v>
      </c>
      <c r="D10" s="29">
        <v>6</v>
      </c>
      <c r="E10" s="29">
        <v>6</v>
      </c>
      <c r="F10" s="29">
        <v>7</v>
      </c>
      <c r="G10" s="6"/>
    </row>
    <row r="11" spans="1:7" x14ac:dyDescent="0.25">
      <c r="A11" s="29" t="s">
        <v>10</v>
      </c>
      <c r="B11" s="29">
        <v>10</v>
      </c>
      <c r="C11" s="29">
        <v>9</v>
      </c>
      <c r="D11" s="29">
        <v>8</v>
      </c>
      <c r="E11" s="29">
        <v>7</v>
      </c>
      <c r="F11" s="29">
        <v>9</v>
      </c>
      <c r="G11" s="6"/>
    </row>
    <row r="12" spans="1:7" x14ac:dyDescent="0.25">
      <c r="A12" s="29" t="s">
        <v>4</v>
      </c>
      <c r="B12" s="29">
        <v>9</v>
      </c>
      <c r="C12" s="29">
        <v>1</v>
      </c>
      <c r="D12" s="29">
        <v>7</v>
      </c>
      <c r="E12" s="29">
        <v>10</v>
      </c>
      <c r="F12" s="29">
        <v>4</v>
      </c>
      <c r="G12" s="6"/>
    </row>
    <row r="13" spans="1:7" x14ac:dyDescent="0.25">
      <c r="A13" s="29" t="s">
        <v>5</v>
      </c>
      <c r="B13" s="29">
        <v>8</v>
      </c>
      <c r="C13" s="29">
        <v>2</v>
      </c>
      <c r="D13" s="29">
        <v>10</v>
      </c>
      <c r="E13" s="29">
        <v>8</v>
      </c>
      <c r="F13" s="29">
        <v>2</v>
      </c>
      <c r="G13" s="6"/>
    </row>
    <row r="14" spans="1:7" x14ac:dyDescent="0.25">
      <c r="A14" s="29" t="s">
        <v>6</v>
      </c>
      <c r="B14" s="29">
        <v>5</v>
      </c>
      <c r="C14" s="29">
        <v>4</v>
      </c>
      <c r="D14" s="29">
        <v>9</v>
      </c>
      <c r="E14" s="29">
        <v>9</v>
      </c>
      <c r="F14" s="29">
        <v>1</v>
      </c>
      <c r="G14" s="6"/>
    </row>
    <row r="15" spans="1:7" x14ac:dyDescent="0.25">
      <c r="A15" s="29" t="s">
        <v>7</v>
      </c>
      <c r="B15" s="29">
        <v>4</v>
      </c>
      <c r="C15" s="29">
        <v>7</v>
      </c>
      <c r="D15" s="29">
        <v>1</v>
      </c>
      <c r="E15" s="29">
        <v>4</v>
      </c>
      <c r="F15" s="29">
        <v>5</v>
      </c>
      <c r="G15" s="6"/>
    </row>
    <row r="16" spans="1:7" x14ac:dyDescent="0.25">
      <c r="A16" s="29" t="s">
        <v>8</v>
      </c>
      <c r="B16" s="29">
        <v>1</v>
      </c>
      <c r="C16" s="29">
        <v>8</v>
      </c>
      <c r="D16" s="29">
        <v>4</v>
      </c>
      <c r="E16" s="29">
        <v>1</v>
      </c>
      <c r="F16" s="29">
        <v>8</v>
      </c>
      <c r="G16" s="6"/>
    </row>
    <row r="19" spans="1:13" ht="15.75" x14ac:dyDescent="0.25">
      <c r="A19" s="17" t="s">
        <v>43</v>
      </c>
      <c r="B19" s="18"/>
      <c r="C19" s="18"/>
      <c r="D19" s="18"/>
      <c r="E19" s="18"/>
      <c r="F19" s="18"/>
      <c r="G19" s="18"/>
    </row>
    <row r="21" spans="1:13" x14ac:dyDescent="0.25">
      <c r="A21" s="72" t="s">
        <v>31</v>
      </c>
      <c r="B21" s="72" t="s">
        <v>26</v>
      </c>
      <c r="C21" s="72"/>
      <c r="D21" s="72" t="s">
        <v>27</v>
      </c>
      <c r="E21" s="72"/>
      <c r="F21" s="72" t="s">
        <v>28</v>
      </c>
      <c r="G21" s="72"/>
      <c r="H21" s="72" t="s">
        <v>29</v>
      </c>
      <c r="I21" s="72"/>
      <c r="J21" s="72" t="s">
        <v>30</v>
      </c>
      <c r="K21" s="72"/>
      <c r="L21" s="66"/>
      <c r="M21" s="66"/>
    </row>
    <row r="22" spans="1:13" x14ac:dyDescent="0.25">
      <c r="A22" s="72"/>
      <c r="B22" s="32" t="s">
        <v>31</v>
      </c>
      <c r="C22" s="33" t="s">
        <v>32</v>
      </c>
      <c r="D22" s="32" t="s">
        <v>31</v>
      </c>
      <c r="E22" s="33" t="s">
        <v>32</v>
      </c>
      <c r="F22" s="32" t="s">
        <v>31</v>
      </c>
      <c r="G22" s="33" t="s">
        <v>32</v>
      </c>
      <c r="H22" s="32" t="s">
        <v>31</v>
      </c>
      <c r="I22" s="33" t="s">
        <v>32</v>
      </c>
      <c r="J22" s="32" t="s">
        <v>31</v>
      </c>
      <c r="K22" s="33" t="s">
        <v>32</v>
      </c>
      <c r="L22" s="6"/>
      <c r="M22" s="6"/>
    </row>
    <row r="23" spans="1:13" x14ac:dyDescent="0.25">
      <c r="A23" s="32">
        <v>1</v>
      </c>
      <c r="B23" s="32" t="s">
        <v>8</v>
      </c>
      <c r="C23" s="32"/>
      <c r="D23" s="32" t="s">
        <v>4</v>
      </c>
      <c r="E23" s="32"/>
      <c r="F23" s="32" t="s">
        <v>7</v>
      </c>
      <c r="G23" s="32"/>
      <c r="H23" s="32" t="s">
        <v>8</v>
      </c>
      <c r="I23" s="32"/>
      <c r="J23" s="32" t="s">
        <v>6</v>
      </c>
      <c r="K23" s="32"/>
      <c r="L23" s="9"/>
      <c r="M23" s="9"/>
    </row>
    <row r="24" spans="1:13" x14ac:dyDescent="0.25">
      <c r="A24" s="32">
        <v>2</v>
      </c>
      <c r="B24" s="32" t="s">
        <v>0</v>
      </c>
      <c r="C24" s="31">
        <v>0.1</v>
      </c>
      <c r="D24" s="32" t="s">
        <v>5</v>
      </c>
      <c r="E24" s="31">
        <v>0.4</v>
      </c>
      <c r="F24" s="32" t="s">
        <v>0</v>
      </c>
      <c r="G24" s="31">
        <v>0.5</v>
      </c>
      <c r="H24" s="32" t="s">
        <v>0</v>
      </c>
      <c r="I24" s="31">
        <v>0.4</v>
      </c>
      <c r="J24" s="32" t="s">
        <v>5</v>
      </c>
      <c r="K24" s="31">
        <v>0.5</v>
      </c>
      <c r="L24" s="9"/>
      <c r="M24" s="9"/>
    </row>
    <row r="25" spans="1:13" x14ac:dyDescent="0.25">
      <c r="A25" s="32">
        <v>3</v>
      </c>
      <c r="B25" s="32" t="s">
        <v>1</v>
      </c>
      <c r="C25" s="31">
        <v>0.5</v>
      </c>
      <c r="D25" s="32" t="s">
        <v>0</v>
      </c>
      <c r="E25" s="31">
        <v>0.5</v>
      </c>
      <c r="F25" s="32" t="s">
        <v>1</v>
      </c>
      <c r="G25" s="31">
        <v>0.6</v>
      </c>
      <c r="H25" s="32" t="s">
        <v>1</v>
      </c>
      <c r="I25" s="31">
        <v>0.6</v>
      </c>
      <c r="J25" s="32" t="s">
        <v>0</v>
      </c>
      <c r="K25" s="31">
        <v>0.6</v>
      </c>
      <c r="L25" s="9"/>
      <c r="M25" s="9"/>
    </row>
    <row r="26" spans="1:13" x14ac:dyDescent="0.25">
      <c r="A26" s="32">
        <v>4</v>
      </c>
      <c r="B26" s="32" t="s">
        <v>7</v>
      </c>
      <c r="C26" s="31">
        <v>0.7</v>
      </c>
      <c r="D26" s="32" t="s">
        <v>6</v>
      </c>
      <c r="E26" s="31">
        <v>0.7</v>
      </c>
      <c r="F26" s="32" t="s">
        <v>8</v>
      </c>
      <c r="G26" s="31">
        <v>0.7</v>
      </c>
      <c r="H26" s="32" t="s">
        <v>7</v>
      </c>
      <c r="I26" s="31">
        <v>0.5</v>
      </c>
      <c r="J26" s="32" t="s">
        <v>4</v>
      </c>
      <c r="K26" s="31">
        <v>0.5</v>
      </c>
      <c r="L26" s="9"/>
      <c r="M26" s="9"/>
    </row>
    <row r="27" spans="1:13" x14ac:dyDescent="0.25">
      <c r="A27" s="32">
        <v>5</v>
      </c>
      <c r="B27" s="32" t="s">
        <v>6</v>
      </c>
      <c r="C27" s="31">
        <v>0.2</v>
      </c>
      <c r="D27" s="32" t="s">
        <v>2</v>
      </c>
      <c r="E27" s="31">
        <v>0.4</v>
      </c>
      <c r="F27" s="32" t="s">
        <v>2</v>
      </c>
      <c r="G27" s="31">
        <v>0.5</v>
      </c>
      <c r="H27" s="32" t="s">
        <v>2</v>
      </c>
      <c r="I27" s="31">
        <v>0.6</v>
      </c>
      <c r="J27" s="32" t="s">
        <v>7</v>
      </c>
      <c r="K27" s="31">
        <v>0.6</v>
      </c>
      <c r="L27" s="9"/>
      <c r="M27" s="9"/>
    </row>
    <row r="28" spans="1:13" x14ac:dyDescent="0.25">
      <c r="A28" s="32">
        <v>6</v>
      </c>
      <c r="B28" s="32" t="s">
        <v>2</v>
      </c>
      <c r="C28" s="31">
        <v>0.8</v>
      </c>
      <c r="D28" s="32" t="s">
        <v>3</v>
      </c>
      <c r="E28" s="31">
        <v>0.6</v>
      </c>
      <c r="F28" s="32" t="s">
        <v>3</v>
      </c>
      <c r="G28" s="31">
        <v>0.7</v>
      </c>
      <c r="H28" s="32" t="s">
        <v>3</v>
      </c>
      <c r="I28" s="31">
        <v>0.5</v>
      </c>
      <c r="J28" s="32" t="s">
        <v>2</v>
      </c>
      <c r="K28" s="31">
        <v>0.6</v>
      </c>
      <c r="L28" s="9"/>
      <c r="M28" s="9"/>
    </row>
    <row r="29" spans="1:13" x14ac:dyDescent="0.25">
      <c r="A29" s="32">
        <v>7</v>
      </c>
      <c r="B29" s="32" t="s">
        <v>3</v>
      </c>
      <c r="C29" s="31">
        <v>0.2</v>
      </c>
      <c r="D29" s="32" t="s">
        <v>7</v>
      </c>
      <c r="E29" s="31">
        <v>0.6</v>
      </c>
      <c r="F29" s="32" t="s">
        <v>4</v>
      </c>
      <c r="G29" s="31">
        <v>0.5</v>
      </c>
      <c r="H29" s="32" t="s">
        <v>10</v>
      </c>
      <c r="I29" s="31">
        <v>0.7</v>
      </c>
      <c r="J29" s="32" t="s">
        <v>3</v>
      </c>
      <c r="K29" s="31">
        <v>0.5</v>
      </c>
      <c r="L29" s="9"/>
      <c r="M29" s="9"/>
    </row>
    <row r="30" spans="1:13" x14ac:dyDescent="0.25">
      <c r="A30" s="32">
        <v>8</v>
      </c>
      <c r="B30" s="32" t="s">
        <v>5</v>
      </c>
      <c r="C30" s="31">
        <v>0.5</v>
      </c>
      <c r="D30" s="32" t="s">
        <v>8</v>
      </c>
      <c r="E30" s="31">
        <v>0.5</v>
      </c>
      <c r="F30" s="32" t="s">
        <v>10</v>
      </c>
      <c r="G30" s="31">
        <v>0.5</v>
      </c>
      <c r="H30" s="32" t="s">
        <v>5</v>
      </c>
      <c r="I30" s="31">
        <v>0.4</v>
      </c>
      <c r="J30" s="32" t="s">
        <v>8</v>
      </c>
      <c r="K30" s="31">
        <v>0.7</v>
      </c>
      <c r="L30" s="9"/>
      <c r="M30" s="9"/>
    </row>
    <row r="31" spans="1:13" x14ac:dyDescent="0.25">
      <c r="A31" s="32">
        <v>9</v>
      </c>
      <c r="B31" s="32" t="s">
        <v>4</v>
      </c>
      <c r="C31" s="31">
        <v>0.7</v>
      </c>
      <c r="D31" s="32" t="s">
        <v>10</v>
      </c>
      <c r="E31" s="31">
        <v>0.6</v>
      </c>
      <c r="F31" s="32" t="s">
        <v>6</v>
      </c>
      <c r="G31" s="31">
        <v>0.7</v>
      </c>
      <c r="H31" s="32" t="s">
        <v>6</v>
      </c>
      <c r="I31" s="31">
        <v>0.5</v>
      </c>
      <c r="J31" s="32" t="s">
        <v>10</v>
      </c>
      <c r="K31" s="31">
        <v>0.4</v>
      </c>
      <c r="L31" s="9"/>
      <c r="M31" s="9"/>
    </row>
    <row r="32" spans="1:13" x14ac:dyDescent="0.25">
      <c r="A32" s="32">
        <v>10</v>
      </c>
      <c r="B32" s="32" t="s">
        <v>10</v>
      </c>
      <c r="C32" s="31">
        <v>0.6</v>
      </c>
      <c r="D32" s="32" t="s">
        <v>1</v>
      </c>
      <c r="E32" s="31">
        <v>0.6</v>
      </c>
      <c r="F32" s="32" t="s">
        <v>5</v>
      </c>
      <c r="G32" s="31">
        <v>0.5</v>
      </c>
      <c r="H32" s="32" t="s">
        <v>4</v>
      </c>
      <c r="I32" s="31">
        <v>0.6</v>
      </c>
      <c r="J32" s="32" t="s">
        <v>1</v>
      </c>
      <c r="K32" s="31">
        <v>0.5</v>
      </c>
      <c r="L32" s="9"/>
      <c r="M32" s="9"/>
    </row>
    <row r="33" spans="1:2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20" x14ac:dyDescent="0.25">
      <c r="A34" s="5" t="s">
        <v>26</v>
      </c>
      <c r="B34" s="5"/>
      <c r="C34" s="5"/>
      <c r="D34" s="5"/>
      <c r="H34" s="5" t="s">
        <v>27</v>
      </c>
      <c r="I34" s="5"/>
      <c r="J34" s="5"/>
      <c r="K34" s="5"/>
      <c r="O34" s="5" t="s">
        <v>28</v>
      </c>
      <c r="P34" s="5"/>
      <c r="Q34" s="5"/>
      <c r="R34" s="5"/>
    </row>
    <row r="36" spans="1:20" x14ac:dyDescent="0.25">
      <c r="A36" s="20" t="s">
        <v>25</v>
      </c>
      <c r="B36" s="20" t="s">
        <v>44</v>
      </c>
      <c r="C36" s="20" t="s">
        <v>9</v>
      </c>
      <c r="D36" s="20" t="s">
        <v>11</v>
      </c>
      <c r="E36" s="20" t="s">
        <v>12</v>
      </c>
      <c r="F36" s="20" t="s">
        <v>13</v>
      </c>
      <c r="H36" s="20" t="s">
        <v>25</v>
      </c>
      <c r="I36" s="20" t="s">
        <v>44</v>
      </c>
      <c r="J36" s="20" t="s">
        <v>9</v>
      </c>
      <c r="K36" s="20" t="s">
        <v>11</v>
      </c>
      <c r="L36" s="20" t="s">
        <v>12</v>
      </c>
      <c r="M36" s="20" t="s">
        <v>13</v>
      </c>
      <c r="O36" s="20" t="s">
        <v>25</v>
      </c>
      <c r="P36" s="20" t="s">
        <v>44</v>
      </c>
      <c r="Q36" s="20" t="s">
        <v>9</v>
      </c>
      <c r="R36" s="20" t="s">
        <v>11</v>
      </c>
      <c r="S36" s="20" t="s">
        <v>12</v>
      </c>
      <c r="T36" s="20" t="s">
        <v>13</v>
      </c>
    </row>
    <row r="37" spans="1:20" x14ac:dyDescent="0.25">
      <c r="A37" s="20">
        <v>1</v>
      </c>
      <c r="B37" s="36" t="s">
        <v>8</v>
      </c>
      <c r="C37" s="36"/>
      <c r="D37" s="21">
        <v>1</v>
      </c>
      <c r="E37" s="37">
        <v>1</v>
      </c>
      <c r="F37" s="37">
        <f t="shared" ref="F37:F46" si="0">E37/$E$47</f>
        <v>0.2739216369502398</v>
      </c>
      <c r="H37" s="20">
        <v>1</v>
      </c>
      <c r="I37" s="36" t="s">
        <v>4</v>
      </c>
      <c r="J37" s="36"/>
      <c r="K37" s="21">
        <v>1</v>
      </c>
      <c r="L37" s="37">
        <v>1</v>
      </c>
      <c r="M37" s="37">
        <f t="shared" ref="M37:M46" si="1">L37/$L$47</f>
        <v>0.33569471879957902</v>
      </c>
      <c r="O37" s="20">
        <v>1</v>
      </c>
      <c r="P37" s="36" t="s">
        <v>7</v>
      </c>
      <c r="Q37" s="36"/>
      <c r="R37" s="21">
        <v>1</v>
      </c>
      <c r="S37" s="37">
        <v>1</v>
      </c>
      <c r="T37" s="37">
        <f t="shared" ref="T37:T46" si="2">S37/$S$47</f>
        <v>0.3654136736407757</v>
      </c>
    </row>
    <row r="38" spans="1:20" x14ac:dyDescent="0.25">
      <c r="A38" s="20">
        <v>2</v>
      </c>
      <c r="B38" s="36" t="s">
        <v>0</v>
      </c>
      <c r="C38" s="35">
        <v>0.1</v>
      </c>
      <c r="D38" s="21">
        <f>1+C38</f>
        <v>1.1000000000000001</v>
      </c>
      <c r="E38" s="37">
        <f>E37/D38</f>
        <v>0.90909090909090906</v>
      </c>
      <c r="F38" s="37">
        <f t="shared" si="0"/>
        <v>0.24901966995476343</v>
      </c>
      <c r="H38" s="20">
        <v>2</v>
      </c>
      <c r="I38" s="36" t="s">
        <v>5</v>
      </c>
      <c r="J38" s="35">
        <v>0.4</v>
      </c>
      <c r="K38" s="21">
        <f>1+J38</f>
        <v>1.4</v>
      </c>
      <c r="L38" s="37">
        <f>L37/K38</f>
        <v>0.7142857142857143</v>
      </c>
      <c r="M38" s="37">
        <f t="shared" si="1"/>
        <v>0.23978194199969929</v>
      </c>
      <c r="O38" s="20">
        <v>2</v>
      </c>
      <c r="P38" s="36" t="s">
        <v>0</v>
      </c>
      <c r="Q38" s="35">
        <v>0.5</v>
      </c>
      <c r="R38" s="21">
        <f>1+Q38</f>
        <v>1.5</v>
      </c>
      <c r="S38" s="37">
        <f>S37/R38</f>
        <v>0.66666666666666663</v>
      </c>
      <c r="T38" s="37">
        <f t="shared" si="2"/>
        <v>0.24360911576051711</v>
      </c>
    </row>
    <row r="39" spans="1:20" x14ac:dyDescent="0.25">
      <c r="A39" s="20">
        <v>3</v>
      </c>
      <c r="B39" s="36" t="s">
        <v>1</v>
      </c>
      <c r="C39" s="35">
        <v>0.5</v>
      </c>
      <c r="D39" s="21">
        <f t="shared" ref="D39:D46" si="3">1+C39</f>
        <v>1.5</v>
      </c>
      <c r="E39" s="37">
        <f>E38/D39</f>
        <v>0.60606060606060608</v>
      </c>
      <c r="F39" s="37">
        <f t="shared" si="0"/>
        <v>0.16601311330317564</v>
      </c>
      <c r="H39" s="20">
        <v>3</v>
      </c>
      <c r="I39" s="36" t="s">
        <v>0</v>
      </c>
      <c r="J39" s="35">
        <v>0.5</v>
      </c>
      <c r="K39" s="21">
        <f t="shared" ref="K39:K46" si="4">1+J39</f>
        <v>1.5</v>
      </c>
      <c r="L39" s="37">
        <f>L38/K39</f>
        <v>0.47619047619047622</v>
      </c>
      <c r="M39" s="37">
        <f t="shared" si="1"/>
        <v>0.15985462799979955</v>
      </c>
      <c r="O39" s="20">
        <v>3</v>
      </c>
      <c r="P39" s="36" t="s">
        <v>1</v>
      </c>
      <c r="Q39" s="35">
        <v>0.6</v>
      </c>
      <c r="R39" s="21">
        <f t="shared" ref="R39:R46" si="5">1+Q39</f>
        <v>1.6</v>
      </c>
      <c r="S39" s="37">
        <f>S38/R39</f>
        <v>0.41666666666666663</v>
      </c>
      <c r="T39" s="37">
        <f t="shared" si="2"/>
        <v>0.15225569735032318</v>
      </c>
    </row>
    <row r="40" spans="1:20" x14ac:dyDescent="0.25">
      <c r="A40" s="20">
        <v>4</v>
      </c>
      <c r="B40" s="36" t="s">
        <v>7</v>
      </c>
      <c r="C40" s="35">
        <v>0.7</v>
      </c>
      <c r="D40" s="21">
        <f t="shared" si="3"/>
        <v>1.7</v>
      </c>
      <c r="E40" s="37">
        <f t="shared" ref="E40:E46" si="6">E39/D40</f>
        <v>0.35650623885918004</v>
      </c>
      <c r="F40" s="37">
        <f t="shared" si="0"/>
        <v>9.7654772531279785E-2</v>
      </c>
      <c r="H40" s="20">
        <v>4</v>
      </c>
      <c r="I40" s="36" t="s">
        <v>6</v>
      </c>
      <c r="J40" s="35">
        <v>0.7</v>
      </c>
      <c r="K40" s="21">
        <f t="shared" si="4"/>
        <v>1.7</v>
      </c>
      <c r="L40" s="37">
        <f t="shared" ref="L40:L46" si="7">L39/K40</f>
        <v>0.28011204481792717</v>
      </c>
      <c r="M40" s="37">
        <f t="shared" si="1"/>
        <v>9.4032134117529129E-2</v>
      </c>
      <c r="O40" s="20">
        <v>4</v>
      </c>
      <c r="P40" s="36" t="s">
        <v>8</v>
      </c>
      <c r="Q40" s="35">
        <v>0.7</v>
      </c>
      <c r="R40" s="21">
        <f t="shared" si="5"/>
        <v>1.7</v>
      </c>
      <c r="S40" s="37">
        <f t="shared" ref="S40:S46" si="8">S39/R40</f>
        <v>0.24509803921568626</v>
      </c>
      <c r="T40" s="37">
        <f t="shared" si="2"/>
        <v>8.9562174911954825E-2</v>
      </c>
    </row>
    <row r="41" spans="1:20" x14ac:dyDescent="0.25">
      <c r="A41" s="20">
        <v>5</v>
      </c>
      <c r="B41" s="36" t="s">
        <v>6</v>
      </c>
      <c r="C41" s="35">
        <v>0.2</v>
      </c>
      <c r="D41" s="21">
        <f t="shared" si="3"/>
        <v>1.2</v>
      </c>
      <c r="E41" s="37">
        <f t="shared" si="6"/>
        <v>0.29708853238265004</v>
      </c>
      <c r="F41" s="37">
        <f t="shared" si="0"/>
        <v>8.1378977109399828E-2</v>
      </c>
      <c r="H41" s="20">
        <v>5</v>
      </c>
      <c r="I41" s="36" t="s">
        <v>2</v>
      </c>
      <c r="J41" s="35">
        <v>0.4</v>
      </c>
      <c r="K41" s="21">
        <f t="shared" si="4"/>
        <v>1.4</v>
      </c>
      <c r="L41" s="37">
        <f t="shared" si="7"/>
        <v>0.20008003201280514</v>
      </c>
      <c r="M41" s="37">
        <f t="shared" si="1"/>
        <v>6.7165810083949382E-2</v>
      </c>
      <c r="O41" s="20">
        <v>5</v>
      </c>
      <c r="P41" s="36" t="s">
        <v>2</v>
      </c>
      <c r="Q41" s="35">
        <v>0.5</v>
      </c>
      <c r="R41" s="21">
        <f t="shared" si="5"/>
        <v>1.5</v>
      </c>
      <c r="S41" s="37">
        <f t="shared" si="8"/>
        <v>0.16339869281045752</v>
      </c>
      <c r="T41" s="37">
        <f t="shared" si="2"/>
        <v>5.9708116607969888E-2</v>
      </c>
    </row>
    <row r="42" spans="1:20" x14ac:dyDescent="0.25">
      <c r="A42" s="20">
        <v>6</v>
      </c>
      <c r="B42" s="36" t="s">
        <v>2</v>
      </c>
      <c r="C42" s="35">
        <v>0.8</v>
      </c>
      <c r="D42" s="21">
        <f t="shared" si="3"/>
        <v>1.8</v>
      </c>
      <c r="E42" s="37">
        <f t="shared" si="6"/>
        <v>0.16504918465702781</v>
      </c>
      <c r="F42" s="37">
        <f t="shared" si="0"/>
        <v>4.5210542838555461E-2</v>
      </c>
      <c r="H42" s="20">
        <v>6</v>
      </c>
      <c r="I42" s="36" t="s">
        <v>3</v>
      </c>
      <c r="J42" s="35">
        <v>0.6</v>
      </c>
      <c r="K42" s="21">
        <f t="shared" si="4"/>
        <v>1.6</v>
      </c>
      <c r="L42" s="37">
        <f t="shared" si="7"/>
        <v>0.12505002000800319</v>
      </c>
      <c r="M42" s="37">
        <f t="shared" si="1"/>
        <v>4.1978631302468358E-2</v>
      </c>
      <c r="O42" s="20">
        <v>6</v>
      </c>
      <c r="P42" s="36" t="s">
        <v>3</v>
      </c>
      <c r="Q42" s="35">
        <v>0.7</v>
      </c>
      <c r="R42" s="21">
        <f t="shared" si="5"/>
        <v>1.7</v>
      </c>
      <c r="S42" s="37">
        <f t="shared" si="8"/>
        <v>9.6116878123798544E-2</v>
      </c>
      <c r="T42" s="37">
        <f t="shared" si="2"/>
        <v>3.5122421534099932E-2</v>
      </c>
    </row>
    <row r="43" spans="1:20" x14ac:dyDescent="0.25">
      <c r="A43" s="20">
        <v>7</v>
      </c>
      <c r="B43" s="36" t="s">
        <v>3</v>
      </c>
      <c r="C43" s="35">
        <v>0.2</v>
      </c>
      <c r="D43" s="21">
        <f t="shared" si="3"/>
        <v>1.2</v>
      </c>
      <c r="E43" s="37">
        <f t="shared" si="6"/>
        <v>0.13754098721418984</v>
      </c>
      <c r="F43" s="37">
        <f t="shared" si="0"/>
        <v>3.767545236546288E-2</v>
      </c>
      <c r="H43" s="20">
        <v>7</v>
      </c>
      <c r="I43" s="36" t="s">
        <v>7</v>
      </c>
      <c r="J43" s="35">
        <v>0.6</v>
      </c>
      <c r="K43" s="21">
        <f t="shared" si="4"/>
        <v>1.6</v>
      </c>
      <c r="L43" s="37">
        <f t="shared" si="7"/>
        <v>7.8156262505001989E-2</v>
      </c>
      <c r="M43" s="37">
        <f t="shared" si="1"/>
        <v>2.6236644564042722E-2</v>
      </c>
      <c r="O43" s="20">
        <v>7</v>
      </c>
      <c r="P43" s="36" t="s">
        <v>4</v>
      </c>
      <c r="Q43" s="35">
        <v>0.5</v>
      </c>
      <c r="R43" s="21">
        <f t="shared" si="5"/>
        <v>1.5</v>
      </c>
      <c r="S43" s="37">
        <f t="shared" si="8"/>
        <v>6.4077918749199034E-2</v>
      </c>
      <c r="T43" s="37">
        <f t="shared" si="2"/>
        <v>2.3414947689399959E-2</v>
      </c>
    </row>
    <row r="44" spans="1:20" x14ac:dyDescent="0.25">
      <c r="A44" s="20">
        <v>8</v>
      </c>
      <c r="B44" s="36" t="s">
        <v>5</v>
      </c>
      <c r="C44" s="35">
        <v>0.5</v>
      </c>
      <c r="D44" s="21">
        <f t="shared" si="3"/>
        <v>1.5</v>
      </c>
      <c r="E44" s="37">
        <f t="shared" si="6"/>
        <v>9.1693991476126557E-2</v>
      </c>
      <c r="F44" s="37">
        <f t="shared" si="0"/>
        <v>2.5116968243641923E-2</v>
      </c>
      <c r="H44" s="20">
        <v>8</v>
      </c>
      <c r="I44" s="36" t="s">
        <v>8</v>
      </c>
      <c r="J44" s="35">
        <v>0.5</v>
      </c>
      <c r="K44" s="21">
        <f t="shared" si="4"/>
        <v>1.5</v>
      </c>
      <c r="L44" s="37">
        <f t="shared" si="7"/>
        <v>5.2104175003334662E-2</v>
      </c>
      <c r="M44" s="37">
        <f t="shared" si="1"/>
        <v>1.7491096376028484E-2</v>
      </c>
      <c r="O44" s="20">
        <v>8</v>
      </c>
      <c r="P44" s="36" t="s">
        <v>10</v>
      </c>
      <c r="Q44" s="35">
        <v>0.5</v>
      </c>
      <c r="R44" s="21">
        <f t="shared" si="5"/>
        <v>1.5</v>
      </c>
      <c r="S44" s="37">
        <f t="shared" si="8"/>
        <v>4.271861249946602E-2</v>
      </c>
      <c r="T44" s="37">
        <f t="shared" si="2"/>
        <v>1.5609965126266638E-2</v>
      </c>
    </row>
    <row r="45" spans="1:20" x14ac:dyDescent="0.25">
      <c r="A45" s="20">
        <v>9</v>
      </c>
      <c r="B45" s="36" t="s">
        <v>4</v>
      </c>
      <c r="C45" s="35">
        <v>0.7</v>
      </c>
      <c r="D45" s="21">
        <f t="shared" si="3"/>
        <v>1.7</v>
      </c>
      <c r="E45" s="37">
        <f t="shared" si="6"/>
        <v>5.3937642044780326E-2</v>
      </c>
      <c r="F45" s="37">
        <f t="shared" si="0"/>
        <v>1.4774687202142306E-2</v>
      </c>
      <c r="H45" s="20">
        <v>9</v>
      </c>
      <c r="I45" s="36" t="s">
        <v>10</v>
      </c>
      <c r="J45" s="35">
        <v>0.6</v>
      </c>
      <c r="K45" s="21">
        <f t="shared" si="4"/>
        <v>1.6</v>
      </c>
      <c r="L45" s="37">
        <f t="shared" si="7"/>
        <v>3.2565109377084164E-2</v>
      </c>
      <c r="M45" s="37">
        <f t="shared" si="1"/>
        <v>1.0931935235017802E-2</v>
      </c>
      <c r="O45" s="20">
        <v>9</v>
      </c>
      <c r="P45" s="36" t="s">
        <v>6</v>
      </c>
      <c r="Q45" s="35">
        <v>0.7</v>
      </c>
      <c r="R45" s="21">
        <f t="shared" si="5"/>
        <v>1.7</v>
      </c>
      <c r="S45" s="37">
        <f t="shared" si="8"/>
        <v>2.5128595587921188E-2</v>
      </c>
      <c r="T45" s="37">
        <f t="shared" si="2"/>
        <v>9.1823324272156687E-3</v>
      </c>
    </row>
    <row r="46" spans="1:20" x14ac:dyDescent="0.25">
      <c r="A46" s="20">
        <v>10</v>
      </c>
      <c r="B46" s="36" t="s">
        <v>10</v>
      </c>
      <c r="C46" s="35">
        <v>0.6</v>
      </c>
      <c r="D46" s="21">
        <f t="shared" si="3"/>
        <v>1.6</v>
      </c>
      <c r="E46" s="37">
        <f t="shared" si="6"/>
        <v>3.37110262779877E-2</v>
      </c>
      <c r="F46" s="37">
        <f t="shared" si="0"/>
        <v>9.2341795013389412E-3</v>
      </c>
      <c r="H46" s="20">
        <v>10</v>
      </c>
      <c r="I46" s="36" t="s">
        <v>1</v>
      </c>
      <c r="J46" s="35">
        <v>0.6</v>
      </c>
      <c r="K46" s="21">
        <f t="shared" si="4"/>
        <v>1.6</v>
      </c>
      <c r="L46" s="37">
        <f t="shared" si="7"/>
        <v>2.0353193360677601E-2</v>
      </c>
      <c r="M46" s="37">
        <f t="shared" si="1"/>
        <v>6.8324595218861254E-3</v>
      </c>
      <c r="O46" s="20">
        <v>10</v>
      </c>
      <c r="P46" s="36" t="s">
        <v>5</v>
      </c>
      <c r="Q46" s="35">
        <v>0.5</v>
      </c>
      <c r="R46" s="21">
        <f t="shared" si="5"/>
        <v>1.5</v>
      </c>
      <c r="S46" s="37">
        <f t="shared" si="8"/>
        <v>1.6752397058614126E-2</v>
      </c>
      <c r="T46" s="37">
        <f t="shared" si="2"/>
        <v>6.1215549514771128E-3</v>
      </c>
    </row>
    <row r="47" spans="1:20" x14ac:dyDescent="0.25">
      <c r="A47" s="38"/>
      <c r="B47" s="38"/>
      <c r="C47" s="38"/>
      <c r="D47" s="38"/>
      <c r="E47" s="39">
        <f>SUM(E37:E46)</f>
        <v>3.6506791180634575</v>
      </c>
      <c r="F47" s="38"/>
      <c r="H47" s="20"/>
      <c r="I47" s="20"/>
      <c r="J47" s="20"/>
      <c r="K47" s="20"/>
      <c r="L47" s="37">
        <f>SUM(L37:L46)</f>
        <v>2.9788970275610249</v>
      </c>
      <c r="M47" s="20"/>
      <c r="O47" s="34"/>
      <c r="P47" s="34"/>
      <c r="Q47" s="34"/>
      <c r="R47" s="34"/>
      <c r="S47" s="39">
        <f>SUM(S37:S46)</f>
        <v>2.7366244673784759</v>
      </c>
      <c r="T47" s="34"/>
    </row>
    <row r="48" spans="1:20" x14ac:dyDescent="0.25">
      <c r="A48" s="5" t="s">
        <v>29</v>
      </c>
      <c r="B48" s="5"/>
      <c r="C48" s="5"/>
      <c r="D48" s="5"/>
      <c r="H48" s="5" t="s">
        <v>30</v>
      </c>
      <c r="I48" s="5"/>
      <c r="J48" s="5"/>
      <c r="K48" s="5"/>
      <c r="O48" s="10"/>
      <c r="P48" s="10"/>
      <c r="Q48" s="10"/>
      <c r="R48" s="10"/>
      <c r="S48" s="10"/>
      <c r="T48" s="10"/>
    </row>
    <row r="49" spans="1:20" x14ac:dyDescent="0.25">
      <c r="A49" s="20" t="s">
        <v>25</v>
      </c>
      <c r="B49" s="20" t="s">
        <v>44</v>
      </c>
      <c r="C49" s="20" t="s">
        <v>9</v>
      </c>
      <c r="D49" s="20" t="s">
        <v>11</v>
      </c>
      <c r="E49" s="20" t="s">
        <v>12</v>
      </c>
      <c r="F49" s="20" t="s">
        <v>13</v>
      </c>
      <c r="H49" s="20" t="s">
        <v>25</v>
      </c>
      <c r="I49" s="20" t="s">
        <v>44</v>
      </c>
      <c r="J49" s="20" t="s">
        <v>9</v>
      </c>
      <c r="K49" s="20" t="s">
        <v>11</v>
      </c>
      <c r="L49" s="20" t="s">
        <v>12</v>
      </c>
      <c r="M49" s="20" t="s">
        <v>13</v>
      </c>
      <c r="O49" s="10"/>
      <c r="P49" s="10"/>
      <c r="Q49" s="10"/>
      <c r="R49" s="10"/>
      <c r="S49" s="10"/>
      <c r="T49" s="10"/>
    </row>
    <row r="50" spans="1:20" x14ac:dyDescent="0.25">
      <c r="A50" s="20">
        <v>1</v>
      </c>
      <c r="B50" s="36" t="s">
        <v>8</v>
      </c>
      <c r="C50" s="36"/>
      <c r="D50" s="21">
        <v>1</v>
      </c>
      <c r="E50" s="37">
        <v>1</v>
      </c>
      <c r="F50" s="37">
        <f t="shared" ref="F50:F59" si="9">E50/$E$60</f>
        <v>0.33900035891894748</v>
      </c>
      <c r="H50" s="20">
        <v>1</v>
      </c>
      <c r="I50" s="36" t="s">
        <v>6</v>
      </c>
      <c r="J50" s="36"/>
      <c r="K50" s="21">
        <v>1</v>
      </c>
      <c r="L50" s="37">
        <v>1</v>
      </c>
      <c r="M50" s="37">
        <f t="shared" ref="M50:M59" si="10">L50/$L$60</f>
        <v>0.35602700374699359</v>
      </c>
      <c r="O50" s="6"/>
      <c r="P50" s="9"/>
      <c r="Q50" s="9"/>
      <c r="R50" s="11"/>
      <c r="S50" s="12"/>
      <c r="T50" s="12"/>
    </row>
    <row r="51" spans="1:20" x14ac:dyDescent="0.25">
      <c r="A51" s="20">
        <v>2</v>
      </c>
      <c r="B51" s="36" t="s">
        <v>0</v>
      </c>
      <c r="C51" s="35">
        <v>0.4</v>
      </c>
      <c r="D51" s="21">
        <f>1+C51</f>
        <v>1.4</v>
      </c>
      <c r="E51" s="37">
        <f>E50/D51</f>
        <v>0.7142857142857143</v>
      </c>
      <c r="F51" s="37">
        <f t="shared" si="9"/>
        <v>0.2421431135135339</v>
      </c>
      <c r="H51" s="20">
        <v>2</v>
      </c>
      <c r="I51" s="36" t="s">
        <v>5</v>
      </c>
      <c r="J51" s="35">
        <v>0.5</v>
      </c>
      <c r="K51" s="21">
        <f>1+J51</f>
        <v>1.5</v>
      </c>
      <c r="L51" s="37">
        <f>L50/K51</f>
        <v>0.66666666666666663</v>
      </c>
      <c r="M51" s="37">
        <f t="shared" si="10"/>
        <v>0.23735133583132906</v>
      </c>
      <c r="O51" s="6"/>
      <c r="P51" s="9"/>
      <c r="Q51" s="9"/>
      <c r="R51" s="11"/>
      <c r="S51" s="12"/>
      <c r="T51" s="12"/>
    </row>
    <row r="52" spans="1:20" x14ac:dyDescent="0.25">
      <c r="A52" s="20">
        <v>3</v>
      </c>
      <c r="B52" s="36" t="s">
        <v>1</v>
      </c>
      <c r="C52" s="35">
        <v>0.6</v>
      </c>
      <c r="D52" s="21">
        <f t="shared" ref="D52:D59" si="11">1+C52</f>
        <v>1.6</v>
      </c>
      <c r="E52" s="37">
        <f>E51/D52</f>
        <v>0.4464285714285714</v>
      </c>
      <c r="F52" s="37">
        <f t="shared" si="9"/>
        <v>0.15133944594595869</v>
      </c>
      <c r="H52" s="20">
        <v>3</v>
      </c>
      <c r="I52" s="36" t="s">
        <v>0</v>
      </c>
      <c r="J52" s="35">
        <v>0.6</v>
      </c>
      <c r="K52" s="21">
        <f t="shared" ref="K52:K59" si="12">1+J52</f>
        <v>1.6</v>
      </c>
      <c r="L52" s="37">
        <f>L51/K52</f>
        <v>0.41666666666666663</v>
      </c>
      <c r="M52" s="37">
        <f t="shared" si="10"/>
        <v>0.14834458489458066</v>
      </c>
      <c r="O52" s="6"/>
      <c r="P52" s="9"/>
      <c r="Q52" s="9"/>
      <c r="R52" s="11"/>
      <c r="S52" s="12"/>
      <c r="T52" s="12"/>
    </row>
    <row r="53" spans="1:20" x14ac:dyDescent="0.25">
      <c r="A53" s="20">
        <v>4</v>
      </c>
      <c r="B53" s="36" t="s">
        <v>7</v>
      </c>
      <c r="C53" s="35">
        <v>0.5</v>
      </c>
      <c r="D53" s="21">
        <f t="shared" si="11"/>
        <v>1.5</v>
      </c>
      <c r="E53" s="37">
        <f t="shared" ref="E53:E59" si="13">E52/D53</f>
        <v>0.29761904761904762</v>
      </c>
      <c r="F53" s="37">
        <f t="shared" si="9"/>
        <v>0.10089296396397246</v>
      </c>
      <c r="H53" s="20">
        <v>4</v>
      </c>
      <c r="I53" s="36" t="s">
        <v>4</v>
      </c>
      <c r="J53" s="35">
        <v>0.5</v>
      </c>
      <c r="K53" s="21">
        <f t="shared" si="12"/>
        <v>1.5</v>
      </c>
      <c r="L53" s="37">
        <f t="shared" ref="L53:L59" si="14">L52/K53</f>
        <v>0.27777777777777773</v>
      </c>
      <c r="M53" s="37">
        <f t="shared" si="10"/>
        <v>9.8896389929720427E-2</v>
      </c>
      <c r="O53" s="6"/>
      <c r="P53" s="9"/>
      <c r="Q53" s="9"/>
      <c r="R53" s="11"/>
      <c r="S53" s="12"/>
      <c r="T53" s="12"/>
    </row>
    <row r="54" spans="1:20" x14ac:dyDescent="0.25">
      <c r="A54" s="20">
        <v>5</v>
      </c>
      <c r="B54" s="36" t="s">
        <v>2</v>
      </c>
      <c r="C54" s="35">
        <v>0.6</v>
      </c>
      <c r="D54" s="21">
        <f t="shared" si="11"/>
        <v>1.6</v>
      </c>
      <c r="E54" s="37">
        <f t="shared" si="13"/>
        <v>0.18601190476190474</v>
      </c>
      <c r="F54" s="37">
        <f t="shared" si="9"/>
        <v>6.305810247748278E-2</v>
      </c>
      <c r="H54" s="20">
        <v>5</v>
      </c>
      <c r="I54" s="36" t="s">
        <v>7</v>
      </c>
      <c r="J54" s="35">
        <v>0.6</v>
      </c>
      <c r="K54" s="21">
        <f t="shared" si="12"/>
        <v>1.6</v>
      </c>
      <c r="L54" s="37">
        <f t="shared" si="14"/>
        <v>0.17361111111111108</v>
      </c>
      <c r="M54" s="37">
        <f t="shared" si="10"/>
        <v>6.1810243706075262E-2</v>
      </c>
      <c r="O54" s="6"/>
      <c r="P54" s="9"/>
      <c r="Q54" s="9"/>
      <c r="R54" s="11"/>
      <c r="S54" s="12"/>
      <c r="T54" s="12"/>
    </row>
    <row r="55" spans="1:20" x14ac:dyDescent="0.25">
      <c r="A55" s="20">
        <v>6</v>
      </c>
      <c r="B55" s="36" t="s">
        <v>3</v>
      </c>
      <c r="C55" s="35">
        <v>0.5</v>
      </c>
      <c r="D55" s="21">
        <f t="shared" si="11"/>
        <v>1.5</v>
      </c>
      <c r="E55" s="37">
        <f t="shared" si="13"/>
        <v>0.1240079365079365</v>
      </c>
      <c r="F55" s="37">
        <f t="shared" si="9"/>
        <v>4.2038734984988523E-2</v>
      </c>
      <c r="H55" s="20">
        <v>6</v>
      </c>
      <c r="I55" s="36" t="s">
        <v>2</v>
      </c>
      <c r="J55" s="35">
        <v>0.6</v>
      </c>
      <c r="K55" s="21">
        <f t="shared" si="12"/>
        <v>1.6</v>
      </c>
      <c r="L55" s="37">
        <f t="shared" si="14"/>
        <v>0.10850694444444442</v>
      </c>
      <c r="M55" s="37">
        <f t="shared" si="10"/>
        <v>3.8631402316297039E-2</v>
      </c>
      <c r="O55" s="6"/>
      <c r="P55" s="9"/>
      <c r="Q55" s="9"/>
      <c r="R55" s="11"/>
      <c r="S55" s="12"/>
      <c r="T55" s="12"/>
    </row>
    <row r="56" spans="1:20" x14ac:dyDescent="0.25">
      <c r="A56" s="20">
        <v>7</v>
      </c>
      <c r="B56" s="36" t="s">
        <v>10</v>
      </c>
      <c r="C56" s="35">
        <v>0.7</v>
      </c>
      <c r="D56" s="21">
        <f t="shared" si="11"/>
        <v>1.7</v>
      </c>
      <c r="E56" s="37">
        <f t="shared" si="13"/>
        <v>7.2945845004668525E-2</v>
      </c>
      <c r="F56" s="37">
        <f t="shared" si="9"/>
        <v>2.4728667638228539E-2</v>
      </c>
      <c r="H56" s="20">
        <v>7</v>
      </c>
      <c r="I56" s="36" t="s">
        <v>3</v>
      </c>
      <c r="J56" s="35">
        <v>0.5</v>
      </c>
      <c r="K56" s="21">
        <f t="shared" si="12"/>
        <v>1.5</v>
      </c>
      <c r="L56" s="37">
        <f t="shared" si="14"/>
        <v>7.2337962962962951E-2</v>
      </c>
      <c r="M56" s="37">
        <f t="shared" si="10"/>
        <v>2.5754268210864694E-2</v>
      </c>
      <c r="O56" s="6"/>
      <c r="P56" s="9"/>
      <c r="Q56" s="9"/>
      <c r="R56" s="11"/>
      <c r="S56" s="12"/>
      <c r="T56" s="12"/>
    </row>
    <row r="57" spans="1:20" x14ac:dyDescent="0.25">
      <c r="A57" s="20">
        <v>8</v>
      </c>
      <c r="B57" s="36" t="s">
        <v>5</v>
      </c>
      <c r="C57" s="35">
        <v>0.4</v>
      </c>
      <c r="D57" s="21">
        <f t="shared" si="11"/>
        <v>1.4</v>
      </c>
      <c r="E57" s="37">
        <f t="shared" si="13"/>
        <v>5.2104175003334662E-2</v>
      </c>
      <c r="F57" s="37">
        <f t="shared" si="9"/>
        <v>1.7663334027306101E-2</v>
      </c>
      <c r="H57" s="20">
        <v>8</v>
      </c>
      <c r="I57" s="36" t="s">
        <v>8</v>
      </c>
      <c r="J57" s="35">
        <v>0.7</v>
      </c>
      <c r="K57" s="21">
        <f t="shared" si="12"/>
        <v>1.7</v>
      </c>
      <c r="L57" s="37">
        <f t="shared" si="14"/>
        <v>4.255174291938997E-2</v>
      </c>
      <c r="M57" s="37">
        <f t="shared" si="10"/>
        <v>1.5149569535802761E-2</v>
      </c>
      <c r="O57" s="6"/>
      <c r="P57" s="9"/>
      <c r="Q57" s="9"/>
      <c r="R57" s="11"/>
      <c r="S57" s="12"/>
      <c r="T57" s="12"/>
    </row>
    <row r="58" spans="1:20" x14ac:dyDescent="0.25">
      <c r="A58" s="20">
        <v>9</v>
      </c>
      <c r="B58" s="36" t="s">
        <v>6</v>
      </c>
      <c r="C58" s="35">
        <v>0.5</v>
      </c>
      <c r="D58" s="21">
        <f t="shared" si="11"/>
        <v>1.5</v>
      </c>
      <c r="E58" s="37">
        <f t="shared" si="13"/>
        <v>3.4736116668889774E-2</v>
      </c>
      <c r="F58" s="37">
        <f t="shared" si="9"/>
        <v>1.1775556018204068E-2</v>
      </c>
      <c r="H58" s="20">
        <v>9</v>
      </c>
      <c r="I58" s="36" t="s">
        <v>10</v>
      </c>
      <c r="J58" s="35">
        <v>0.4</v>
      </c>
      <c r="K58" s="21">
        <f t="shared" si="12"/>
        <v>1.4</v>
      </c>
      <c r="L58" s="37">
        <f t="shared" si="14"/>
        <v>3.0394102085278551E-2</v>
      </c>
      <c r="M58" s="37">
        <f t="shared" si="10"/>
        <v>1.0821121097001972E-2</v>
      </c>
      <c r="O58" s="6"/>
      <c r="P58" s="9"/>
      <c r="Q58" s="9"/>
      <c r="R58" s="11"/>
      <c r="S58" s="12"/>
      <c r="T58" s="12"/>
    </row>
    <row r="59" spans="1:20" x14ac:dyDescent="0.25">
      <c r="A59" s="20">
        <v>10</v>
      </c>
      <c r="B59" s="36" t="s">
        <v>4</v>
      </c>
      <c r="C59" s="35">
        <v>0.6</v>
      </c>
      <c r="D59" s="21">
        <f t="shared" si="11"/>
        <v>1.6</v>
      </c>
      <c r="E59" s="37">
        <f t="shared" si="13"/>
        <v>2.1710072918056107E-2</v>
      </c>
      <c r="F59" s="37">
        <f t="shared" si="9"/>
        <v>7.359722511377541E-3</v>
      </c>
      <c r="H59" s="20">
        <v>10</v>
      </c>
      <c r="I59" s="36" t="s">
        <v>1</v>
      </c>
      <c r="J59" s="35">
        <v>0.5</v>
      </c>
      <c r="K59" s="21">
        <f t="shared" si="12"/>
        <v>1.5</v>
      </c>
      <c r="L59" s="37">
        <f t="shared" si="14"/>
        <v>2.0262734723519034E-2</v>
      </c>
      <c r="M59" s="37">
        <f t="shared" si="10"/>
        <v>7.2140807313346485E-3</v>
      </c>
      <c r="O59" s="6"/>
      <c r="P59" s="9"/>
      <c r="Q59" s="9"/>
      <c r="R59" s="11"/>
      <c r="S59" s="12"/>
      <c r="T59" s="12"/>
    </row>
    <row r="60" spans="1:20" x14ac:dyDescent="0.25">
      <c r="A60" s="20"/>
      <c r="B60" s="20"/>
      <c r="C60" s="20"/>
      <c r="D60" s="20"/>
      <c r="E60" s="37">
        <f>SUM(E50:E59)</f>
        <v>2.9498493841981235</v>
      </c>
      <c r="F60" s="20"/>
      <c r="H60" s="20"/>
      <c r="I60" s="20"/>
      <c r="J60" s="20"/>
      <c r="K60" s="20"/>
      <c r="L60" s="37">
        <f>SUM(L50:L59)</f>
        <v>2.8087757093578167</v>
      </c>
      <c r="M60" s="20"/>
      <c r="O60" s="10"/>
      <c r="P60" s="10"/>
      <c r="Q60" s="10"/>
      <c r="R60" s="10"/>
      <c r="S60" s="12"/>
      <c r="T60" s="10"/>
    </row>
    <row r="61" spans="1:20" x14ac:dyDescent="0.25">
      <c r="O61" s="10"/>
      <c r="P61" s="10"/>
      <c r="Q61" s="10"/>
      <c r="R61" s="10"/>
      <c r="S61" s="10"/>
      <c r="T61" s="10"/>
    </row>
    <row r="62" spans="1:20" x14ac:dyDescent="0.25">
      <c r="A62" s="65" t="s">
        <v>41</v>
      </c>
      <c r="B62" s="65"/>
      <c r="C62" s="65"/>
      <c r="D62" s="65"/>
      <c r="E62" s="65"/>
    </row>
    <row r="63" spans="1:20" x14ac:dyDescent="0.25">
      <c r="A63" s="27" t="s">
        <v>38</v>
      </c>
      <c r="B63" s="27" t="s">
        <v>26</v>
      </c>
      <c r="C63" s="27" t="s">
        <v>27</v>
      </c>
      <c r="D63" s="27" t="s">
        <v>28</v>
      </c>
      <c r="E63" s="27" t="s">
        <v>29</v>
      </c>
      <c r="F63" s="27" t="s">
        <v>30</v>
      </c>
      <c r="G63" s="25" t="s">
        <v>39</v>
      </c>
      <c r="H63" s="25" t="s">
        <v>40</v>
      </c>
    </row>
    <row r="64" spans="1:20" x14ac:dyDescent="0.25">
      <c r="A64" s="28" t="s">
        <v>23</v>
      </c>
      <c r="B64" s="28">
        <v>0.249</v>
      </c>
      <c r="C64" s="28">
        <v>0.16</v>
      </c>
      <c r="D64" s="28">
        <v>0.24399999999999999</v>
      </c>
      <c r="E64" s="28">
        <v>0.24199999999999999</v>
      </c>
      <c r="F64" s="28">
        <v>0.14799999999999999</v>
      </c>
      <c r="G64" s="26">
        <f t="shared" ref="G64:G73" si="15">GEOMEAN(B64:F64)</f>
        <v>0.20340295008781459</v>
      </c>
      <c r="H64" s="26">
        <f t="shared" ref="H64:H73" si="16">AVERAGE(B64:F64)</f>
        <v>0.20859999999999998</v>
      </c>
    </row>
    <row r="65" spans="1:8" x14ac:dyDescent="0.25">
      <c r="A65" s="28" t="s">
        <v>22</v>
      </c>
      <c r="B65" s="28">
        <v>0.16600000000000001</v>
      </c>
      <c r="C65" s="28">
        <v>7.0000000000000001E-3</v>
      </c>
      <c r="D65" s="28">
        <v>0.152</v>
      </c>
      <c r="E65" s="28">
        <v>0.151</v>
      </c>
      <c r="F65" s="28">
        <v>7.0000000000000001E-3</v>
      </c>
      <c r="G65" s="26">
        <f t="shared" si="15"/>
        <v>4.5105026328566215E-2</v>
      </c>
      <c r="H65" s="26">
        <f t="shared" si="16"/>
        <v>9.6599999999999991E-2</v>
      </c>
    </row>
    <row r="66" spans="1:8" x14ac:dyDescent="0.25">
      <c r="A66" s="28" t="s">
        <v>21</v>
      </c>
      <c r="B66" s="28">
        <v>4.4999999999999998E-2</v>
      </c>
      <c r="C66" s="28">
        <v>6.7000000000000004E-2</v>
      </c>
      <c r="D66" s="28">
        <v>0.06</v>
      </c>
      <c r="E66" s="28">
        <v>6.3E-2</v>
      </c>
      <c r="F66" s="28">
        <v>3.9E-2</v>
      </c>
      <c r="G66" s="26">
        <f t="shared" si="15"/>
        <v>5.3649878735267678E-2</v>
      </c>
      <c r="H66" s="26">
        <f t="shared" si="16"/>
        <v>5.4799999999999995E-2</v>
      </c>
    </row>
    <row r="67" spans="1:8" x14ac:dyDescent="0.25">
      <c r="A67" s="28" t="s">
        <v>24</v>
      </c>
      <c r="B67" s="28">
        <v>3.7999999999999999E-2</v>
      </c>
      <c r="C67" s="28">
        <v>4.2000000000000003E-2</v>
      </c>
      <c r="D67" s="28">
        <v>3.5000000000000003E-2</v>
      </c>
      <c r="E67" s="28">
        <v>4.2000000000000003E-2</v>
      </c>
      <c r="F67" s="28">
        <v>2.5999999999999999E-2</v>
      </c>
      <c r="G67" s="26">
        <f t="shared" si="15"/>
        <v>3.6063237662104626E-2</v>
      </c>
      <c r="H67" s="26">
        <f t="shared" si="16"/>
        <v>3.6600000000000001E-2</v>
      </c>
    </row>
    <row r="68" spans="1:8" x14ac:dyDescent="0.25">
      <c r="A68" s="28" t="s">
        <v>20</v>
      </c>
      <c r="B68" s="28">
        <v>8.9999999999999993E-3</v>
      </c>
      <c r="C68" s="28">
        <v>1.0999999999999999E-2</v>
      </c>
      <c r="D68" s="28">
        <v>1.6E-2</v>
      </c>
      <c r="E68" s="28">
        <v>2.5000000000000001E-2</v>
      </c>
      <c r="F68" s="28">
        <v>1.0999999999999999E-2</v>
      </c>
      <c r="G68" s="26">
        <f t="shared" si="15"/>
        <v>1.3422010499660781E-2</v>
      </c>
      <c r="H68" s="26">
        <f t="shared" si="16"/>
        <v>1.44E-2</v>
      </c>
    </row>
    <row r="69" spans="1:8" x14ac:dyDescent="0.25">
      <c r="A69" s="28" t="s">
        <v>16</v>
      </c>
      <c r="B69" s="28">
        <v>1.4999999999999999E-2</v>
      </c>
      <c r="C69" s="28">
        <v>0.33600000000000002</v>
      </c>
      <c r="D69" s="28">
        <v>2.3E-2</v>
      </c>
      <c r="E69" s="28">
        <v>7.0000000000000001E-3</v>
      </c>
      <c r="F69" s="28">
        <v>9.9000000000000005E-2</v>
      </c>
      <c r="G69" s="26">
        <f t="shared" si="15"/>
        <v>3.8104680228709102E-2</v>
      </c>
      <c r="H69" s="26">
        <f t="shared" si="16"/>
        <v>9.6000000000000016E-2</v>
      </c>
    </row>
    <row r="70" spans="1:8" x14ac:dyDescent="0.25">
      <c r="A70" s="28" t="s">
        <v>18</v>
      </c>
      <c r="B70" s="28">
        <v>2.5000000000000001E-2</v>
      </c>
      <c r="C70" s="28">
        <v>0.24</v>
      </c>
      <c r="D70" s="28">
        <v>6.0000000000000001E-3</v>
      </c>
      <c r="E70" s="28">
        <v>1.7999999999999999E-2</v>
      </c>
      <c r="F70" s="28">
        <v>0.23699999999999999</v>
      </c>
      <c r="G70" s="26">
        <f t="shared" si="15"/>
        <v>4.3377515173461646E-2</v>
      </c>
      <c r="H70" s="26">
        <f t="shared" si="16"/>
        <v>0.1052</v>
      </c>
    </row>
    <row r="71" spans="1:8" x14ac:dyDescent="0.25">
      <c r="A71" s="28" t="s">
        <v>19</v>
      </c>
      <c r="B71" s="28">
        <v>8.1000000000000003E-2</v>
      </c>
      <c r="C71" s="28">
        <v>9.4E-2</v>
      </c>
      <c r="D71" s="28">
        <v>8.9999999999999993E-3</v>
      </c>
      <c r="E71" s="28">
        <v>1.2E-2</v>
      </c>
      <c r="F71" s="28">
        <v>0.35599999999999998</v>
      </c>
      <c r="G71" s="26">
        <f t="shared" si="15"/>
        <v>4.9351155450220924E-2</v>
      </c>
      <c r="H71" s="26">
        <f t="shared" si="16"/>
        <v>0.11040000000000001</v>
      </c>
    </row>
    <row r="72" spans="1:8" x14ac:dyDescent="0.25">
      <c r="A72" s="28" t="s">
        <v>15</v>
      </c>
      <c r="B72" s="28">
        <v>9.8000000000000004E-2</v>
      </c>
      <c r="C72" s="28">
        <v>2.5999999999999999E-2</v>
      </c>
      <c r="D72" s="28">
        <v>0.36499999999999999</v>
      </c>
      <c r="E72" s="28">
        <v>0.10100000000000001</v>
      </c>
      <c r="F72" s="28">
        <v>6.2E-2</v>
      </c>
      <c r="G72" s="26">
        <f t="shared" si="15"/>
        <v>8.9751366639380173E-2</v>
      </c>
      <c r="H72" s="26">
        <f t="shared" si="16"/>
        <v>0.13039999999999999</v>
      </c>
    </row>
    <row r="73" spans="1:8" x14ac:dyDescent="0.25">
      <c r="A73" s="28" t="s">
        <v>14</v>
      </c>
      <c r="B73" s="28">
        <v>0.27400000000000002</v>
      </c>
      <c r="C73" s="28">
        <v>1.7000000000000001E-2</v>
      </c>
      <c r="D73" s="28">
        <v>0.09</v>
      </c>
      <c r="E73" s="28">
        <v>0.33900000000000002</v>
      </c>
      <c r="F73" s="28">
        <v>1.4999999999999999E-2</v>
      </c>
      <c r="G73" s="26">
        <f t="shared" si="15"/>
        <v>7.3408540603794356E-2</v>
      </c>
      <c r="H73" s="26">
        <f t="shared" si="16"/>
        <v>0.14699999999999999</v>
      </c>
    </row>
  </sheetData>
  <mergeCells count="10">
    <mergeCell ref="L21:M21"/>
    <mergeCell ref="A62:E62"/>
    <mergeCell ref="A4:F4"/>
    <mergeCell ref="A21:A22"/>
    <mergeCell ref="A1:F1"/>
    <mergeCell ref="B21:C21"/>
    <mergeCell ref="D21:E21"/>
    <mergeCell ref="F21:G21"/>
    <mergeCell ref="H21:I21"/>
    <mergeCell ref="J21:K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42"/>
  <sheetViews>
    <sheetView topLeftCell="A13" zoomScale="50" zoomScaleNormal="50" workbookViewId="0">
      <selection activeCell="R28" sqref="R28"/>
    </sheetView>
  </sheetViews>
  <sheetFormatPr defaultRowHeight="15" x14ac:dyDescent="0.25"/>
  <sheetData>
    <row r="2" spans="2:13" ht="45" x14ac:dyDescent="0.25">
      <c r="B2" s="44" t="s">
        <v>45</v>
      </c>
      <c r="C2" s="42" t="s">
        <v>46</v>
      </c>
      <c r="D2" s="42" t="s">
        <v>47</v>
      </c>
      <c r="E2" s="42" t="s">
        <v>48</v>
      </c>
      <c r="F2" s="42" t="s">
        <v>49</v>
      </c>
      <c r="G2" s="42" t="s">
        <v>50</v>
      </c>
      <c r="H2" s="42" t="s">
        <v>51</v>
      </c>
      <c r="I2" s="42" t="s">
        <v>52</v>
      </c>
      <c r="J2" s="42" t="s">
        <v>53</v>
      </c>
      <c r="K2" s="42" t="s">
        <v>54</v>
      </c>
      <c r="L2" s="42" t="s">
        <v>55</v>
      </c>
      <c r="M2" s="42" t="s">
        <v>56</v>
      </c>
    </row>
    <row r="3" spans="2:13" ht="45" x14ac:dyDescent="0.25">
      <c r="B3" s="44" t="s">
        <v>57</v>
      </c>
      <c r="C3" s="64" t="s">
        <v>58</v>
      </c>
      <c r="D3" s="64" t="s">
        <v>59</v>
      </c>
      <c r="E3" s="64" t="s">
        <v>60</v>
      </c>
      <c r="F3" s="64" t="s">
        <v>61</v>
      </c>
      <c r="G3" s="64" t="s">
        <v>62</v>
      </c>
      <c r="H3" s="64" t="s">
        <v>63</v>
      </c>
      <c r="I3" s="64" t="s">
        <v>64</v>
      </c>
      <c r="J3" s="64" t="s">
        <v>65</v>
      </c>
      <c r="K3" s="64" t="s">
        <v>66</v>
      </c>
      <c r="L3" s="64" t="s">
        <v>67</v>
      </c>
      <c r="M3" s="64" t="s">
        <v>68</v>
      </c>
    </row>
    <row r="5" spans="2:13" ht="30" x14ac:dyDescent="0.25">
      <c r="B5" s="44" t="s">
        <v>69</v>
      </c>
      <c r="C5" s="64" t="s">
        <v>66</v>
      </c>
      <c r="D5" s="40"/>
      <c r="E5" s="40"/>
      <c r="F5" s="40"/>
      <c r="G5" s="40"/>
      <c r="H5" s="40"/>
      <c r="I5" s="40"/>
      <c r="J5" s="40"/>
      <c r="K5" s="40"/>
      <c r="L5" s="40"/>
      <c r="M5" s="40"/>
    </row>
    <row r="7" spans="2:13" ht="45" x14ac:dyDescent="0.25">
      <c r="B7" s="44" t="s">
        <v>70</v>
      </c>
      <c r="C7" s="64" t="s">
        <v>60</v>
      </c>
      <c r="D7" s="40"/>
      <c r="E7" s="40"/>
      <c r="F7" s="40"/>
      <c r="G7" s="40"/>
      <c r="H7" s="40"/>
      <c r="I7" s="40"/>
      <c r="J7" s="40"/>
      <c r="K7" s="40"/>
      <c r="L7" s="40"/>
      <c r="M7" s="40"/>
    </row>
    <row r="9" spans="2:13" x14ac:dyDescent="0.25">
      <c r="B9" s="41" t="s">
        <v>71</v>
      </c>
      <c r="C9" s="46" t="s">
        <v>58</v>
      </c>
      <c r="D9" s="46" t="s">
        <v>59</v>
      </c>
      <c r="E9" s="46" t="s">
        <v>60</v>
      </c>
      <c r="F9" s="46" t="s">
        <v>61</v>
      </c>
      <c r="G9" s="46" t="s">
        <v>62</v>
      </c>
      <c r="H9" s="46" t="s">
        <v>63</v>
      </c>
      <c r="I9" s="46" t="s">
        <v>64</v>
      </c>
      <c r="J9" s="46" t="s">
        <v>65</v>
      </c>
      <c r="K9" s="46" t="s">
        <v>66</v>
      </c>
      <c r="L9" s="46" t="s">
        <v>67</v>
      </c>
      <c r="M9" s="46" t="s">
        <v>68</v>
      </c>
    </row>
    <row r="10" spans="2:13" x14ac:dyDescent="0.25">
      <c r="B10" s="46" t="s">
        <v>66</v>
      </c>
      <c r="C10" s="64">
        <v>3</v>
      </c>
      <c r="D10" s="64">
        <v>3</v>
      </c>
      <c r="E10" s="64">
        <v>2</v>
      </c>
      <c r="F10" s="64">
        <v>3</v>
      </c>
      <c r="G10" s="64">
        <v>4</v>
      </c>
      <c r="H10" s="64">
        <v>5</v>
      </c>
      <c r="I10" s="64">
        <v>2</v>
      </c>
      <c r="J10" s="64">
        <v>2</v>
      </c>
      <c r="K10" s="64">
        <v>1</v>
      </c>
      <c r="L10" s="64">
        <v>3</v>
      </c>
      <c r="M10" s="64">
        <v>2</v>
      </c>
    </row>
    <row r="11" spans="2:13" x14ac:dyDescent="0.25">
      <c r="B11" s="40"/>
      <c r="C11" s="47"/>
      <c r="D11" s="47"/>
      <c r="E11" s="47"/>
      <c r="F11" s="47"/>
      <c r="G11" s="47"/>
      <c r="H11" s="47"/>
      <c r="I11" s="47"/>
      <c r="J11" s="47"/>
      <c r="K11" s="47"/>
      <c r="L11" s="40"/>
      <c r="M11" s="40"/>
    </row>
    <row r="12" spans="2:13" ht="45" x14ac:dyDescent="0.25">
      <c r="B12" s="46" t="s">
        <v>72</v>
      </c>
      <c r="C12" s="46" t="s">
        <v>60</v>
      </c>
      <c r="D12" s="48"/>
      <c r="E12" s="48"/>
      <c r="F12" s="48"/>
      <c r="G12" s="48"/>
      <c r="H12" s="48"/>
      <c r="I12" s="48"/>
      <c r="J12" s="48"/>
      <c r="K12" s="48"/>
      <c r="L12" s="40"/>
      <c r="M12" s="40"/>
    </row>
    <row r="13" spans="2:13" x14ac:dyDescent="0.25">
      <c r="B13" s="46" t="s">
        <v>58</v>
      </c>
      <c r="C13" s="64">
        <v>3</v>
      </c>
      <c r="D13" s="49"/>
      <c r="E13" s="49"/>
      <c r="F13" s="49"/>
      <c r="G13" s="49"/>
      <c r="H13" s="49"/>
      <c r="I13" s="49"/>
      <c r="J13" s="49"/>
      <c r="K13" s="49"/>
      <c r="L13" s="40"/>
      <c r="M13" s="40"/>
    </row>
    <row r="14" spans="2:13" x14ac:dyDescent="0.25">
      <c r="B14" s="50" t="s">
        <v>59</v>
      </c>
      <c r="C14" s="64">
        <v>3</v>
      </c>
      <c r="D14" s="43"/>
      <c r="E14" s="43"/>
      <c r="F14" s="43"/>
      <c r="G14" s="43"/>
      <c r="H14" s="43"/>
      <c r="I14" s="43"/>
      <c r="J14" s="43"/>
      <c r="K14" s="43"/>
      <c r="L14" s="40"/>
      <c r="M14" s="40"/>
    </row>
    <row r="15" spans="2:13" x14ac:dyDescent="0.25">
      <c r="B15" s="50" t="s">
        <v>60</v>
      </c>
      <c r="C15" s="64">
        <v>1</v>
      </c>
      <c r="D15" s="43"/>
      <c r="E15" s="43"/>
      <c r="F15" s="43"/>
      <c r="G15" s="51"/>
      <c r="H15" s="43"/>
      <c r="I15" s="51"/>
      <c r="J15" s="43"/>
      <c r="K15" s="43"/>
      <c r="L15" s="40"/>
      <c r="M15" s="40"/>
    </row>
    <row r="16" spans="2:13" x14ac:dyDescent="0.25">
      <c r="B16" s="50" t="s">
        <v>61</v>
      </c>
      <c r="C16" s="64">
        <v>3</v>
      </c>
      <c r="D16" s="43"/>
      <c r="E16" s="43"/>
      <c r="F16" s="43"/>
      <c r="G16" s="43"/>
      <c r="H16" s="43"/>
      <c r="I16" s="43"/>
      <c r="J16" s="43"/>
      <c r="K16" s="43"/>
      <c r="L16" s="40"/>
      <c r="M16" s="40"/>
    </row>
    <row r="17" spans="2:16" x14ac:dyDescent="0.25">
      <c r="B17" s="50" t="s">
        <v>62</v>
      </c>
      <c r="C17" s="64">
        <v>2</v>
      </c>
      <c r="D17" s="43"/>
      <c r="E17" s="43"/>
      <c r="F17" s="43"/>
      <c r="G17" s="43"/>
      <c r="H17" s="43"/>
      <c r="I17" s="43"/>
      <c r="J17" s="43"/>
      <c r="K17" s="43"/>
      <c r="L17" s="40"/>
      <c r="M17" s="40"/>
      <c r="N17" s="40"/>
      <c r="O17" s="40"/>
      <c r="P17" s="40"/>
    </row>
    <row r="18" spans="2:16" x14ac:dyDescent="0.25">
      <c r="B18" s="50" t="s">
        <v>63</v>
      </c>
      <c r="C18" s="64">
        <v>3</v>
      </c>
      <c r="D18" s="43"/>
      <c r="E18" s="43"/>
      <c r="F18" s="43"/>
      <c r="G18" s="43"/>
      <c r="H18" s="43"/>
      <c r="I18" s="43"/>
      <c r="J18" s="43"/>
      <c r="K18" s="43"/>
      <c r="L18" s="40"/>
      <c r="M18" s="40"/>
      <c r="N18" s="40"/>
      <c r="O18" s="40"/>
      <c r="P18" s="40"/>
    </row>
    <row r="19" spans="2:16" x14ac:dyDescent="0.25">
      <c r="B19" s="50" t="s">
        <v>64</v>
      </c>
      <c r="C19" s="64">
        <v>2</v>
      </c>
      <c r="D19" s="43"/>
      <c r="E19" s="43"/>
      <c r="F19" s="43"/>
      <c r="G19" s="43"/>
      <c r="H19" s="43"/>
      <c r="I19" s="43"/>
      <c r="J19" s="43"/>
      <c r="K19" s="43"/>
      <c r="L19" s="40"/>
      <c r="M19" s="40"/>
      <c r="N19" s="40"/>
      <c r="O19" s="40"/>
      <c r="P19" s="40"/>
    </row>
    <row r="20" spans="2:16" x14ac:dyDescent="0.25">
      <c r="B20" s="50" t="s">
        <v>65</v>
      </c>
      <c r="C20" s="64">
        <v>3</v>
      </c>
      <c r="D20" s="43"/>
      <c r="E20" s="43"/>
      <c r="F20" s="43"/>
      <c r="G20" s="43"/>
      <c r="H20" s="43"/>
      <c r="I20" s="43"/>
      <c r="J20" s="43"/>
      <c r="K20" s="43"/>
      <c r="L20" s="40"/>
      <c r="M20" s="40"/>
      <c r="N20" s="40"/>
      <c r="O20" s="40"/>
      <c r="P20" s="40"/>
    </row>
    <row r="21" spans="2:16" x14ac:dyDescent="0.25">
      <c r="B21" s="46" t="s">
        <v>66</v>
      </c>
      <c r="C21" s="64">
        <v>2</v>
      </c>
      <c r="D21" s="49"/>
      <c r="E21" s="49"/>
      <c r="F21" s="49"/>
      <c r="G21" s="49"/>
      <c r="H21" s="49"/>
      <c r="I21" s="49"/>
      <c r="J21" s="49"/>
      <c r="K21" s="49"/>
      <c r="L21" s="40"/>
      <c r="M21" s="40"/>
      <c r="N21" s="40"/>
      <c r="O21" s="40"/>
      <c r="P21" s="40"/>
    </row>
    <row r="22" spans="2:16" x14ac:dyDescent="0.25">
      <c r="B22" s="46" t="s">
        <v>67</v>
      </c>
      <c r="C22" s="64">
        <v>2</v>
      </c>
      <c r="D22" s="49"/>
      <c r="E22" s="49"/>
      <c r="F22" s="49"/>
      <c r="G22" s="49"/>
      <c r="H22" s="49"/>
      <c r="I22" s="49"/>
      <c r="J22" s="49"/>
      <c r="K22" s="49"/>
      <c r="L22" s="40"/>
      <c r="M22" s="40"/>
      <c r="N22" s="40"/>
      <c r="O22" s="40"/>
      <c r="P22" s="40"/>
    </row>
    <row r="23" spans="2:16" x14ac:dyDescent="0.25">
      <c r="B23" s="46" t="s">
        <v>68</v>
      </c>
      <c r="C23" s="64">
        <v>2</v>
      </c>
      <c r="D23" s="49"/>
      <c r="E23" s="49"/>
      <c r="F23" s="49"/>
      <c r="G23" s="49"/>
      <c r="H23" s="49"/>
      <c r="I23" s="49"/>
      <c r="J23" s="49"/>
      <c r="K23" s="49"/>
      <c r="L23" s="40"/>
      <c r="M23" s="40"/>
      <c r="N23" s="40"/>
      <c r="O23" s="40"/>
      <c r="P23" s="40"/>
    </row>
    <row r="24" spans="2:16" x14ac:dyDescent="0.25">
      <c r="B24" s="48"/>
      <c r="C24" s="43"/>
      <c r="D24" s="49"/>
      <c r="E24" s="49"/>
      <c r="F24" s="49"/>
      <c r="G24" s="49"/>
      <c r="H24" s="49"/>
      <c r="I24" s="49"/>
      <c r="J24" s="49"/>
      <c r="K24" s="49"/>
      <c r="L24" s="40"/>
      <c r="M24" s="40"/>
      <c r="N24" s="40"/>
      <c r="O24" s="40"/>
      <c r="P24" s="40"/>
    </row>
    <row r="25" spans="2:16" x14ac:dyDescent="0.25">
      <c r="B25" s="74" t="s">
        <v>73</v>
      </c>
      <c r="C25" s="44" t="s">
        <v>58</v>
      </c>
      <c r="D25" s="44" t="s">
        <v>59</v>
      </c>
      <c r="E25" s="44" t="s">
        <v>60</v>
      </c>
      <c r="F25" s="44" t="s">
        <v>61</v>
      </c>
      <c r="G25" s="44" t="s">
        <v>62</v>
      </c>
      <c r="H25" s="44" t="s">
        <v>63</v>
      </c>
      <c r="I25" s="44" t="s">
        <v>64</v>
      </c>
      <c r="J25" s="44" t="s">
        <v>65</v>
      </c>
      <c r="K25" s="44" t="s">
        <v>66</v>
      </c>
      <c r="L25" s="44" t="s">
        <v>67</v>
      </c>
      <c r="M25" s="44" t="s">
        <v>68</v>
      </c>
      <c r="N25" s="40"/>
      <c r="O25" s="40"/>
      <c r="P25" s="40"/>
    </row>
    <row r="26" spans="2:16" x14ac:dyDescent="0.25">
      <c r="B26" s="75"/>
      <c r="C26" s="52">
        <v>0.15279887637969086</v>
      </c>
      <c r="D26" s="52">
        <v>0.15279887637969092</v>
      </c>
      <c r="E26" s="52">
        <v>0.10969783443708611</v>
      </c>
      <c r="F26" s="52">
        <v>0</v>
      </c>
      <c r="G26" s="52">
        <v>0.14844943046357623</v>
      </c>
      <c r="H26" s="52">
        <v>0.13500767549668877</v>
      </c>
      <c r="I26" s="52">
        <v>0</v>
      </c>
      <c r="J26" s="52">
        <v>0</v>
      </c>
      <c r="K26" s="52">
        <v>0</v>
      </c>
      <c r="L26" s="52">
        <v>0.15279887637969095</v>
      </c>
      <c r="M26" s="52">
        <v>0.14844943046357614</v>
      </c>
      <c r="N26" s="40"/>
      <c r="O26" s="40"/>
      <c r="P26" s="40"/>
    </row>
    <row r="27" spans="2:16" x14ac:dyDescent="0.25">
      <c r="B27" s="43"/>
      <c r="C27" s="53"/>
      <c r="D27" s="53"/>
      <c r="E27" s="53"/>
      <c r="F27" s="53"/>
      <c r="G27" s="53"/>
      <c r="H27" s="53"/>
      <c r="I27" s="53"/>
      <c r="J27" s="53"/>
      <c r="K27" s="53"/>
      <c r="L27" s="43"/>
      <c r="M27" s="43"/>
      <c r="N27" s="43"/>
      <c r="O27" s="43"/>
      <c r="P27" s="43"/>
    </row>
    <row r="28" spans="2:16" x14ac:dyDescent="0.25">
      <c r="B28" s="54" t="s">
        <v>74</v>
      </c>
      <c r="C28" s="52">
        <v>1.0000010000000004</v>
      </c>
      <c r="D28" s="43"/>
      <c r="E28" s="43"/>
      <c r="F28" s="43"/>
      <c r="G28" s="43"/>
      <c r="H28" s="43"/>
      <c r="I28" s="73"/>
      <c r="J28" s="73"/>
      <c r="K28" s="43"/>
      <c r="L28" s="43"/>
      <c r="M28" s="43"/>
      <c r="N28" s="43"/>
      <c r="O28" s="43"/>
      <c r="P28" s="43"/>
    </row>
    <row r="29" spans="2:16" x14ac:dyDescent="0.25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40"/>
      <c r="N29" s="40"/>
      <c r="O29" s="40"/>
      <c r="P29" s="40"/>
    </row>
    <row r="30" spans="2:16" x14ac:dyDescent="0.25"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40"/>
      <c r="N30" s="40"/>
      <c r="O30" s="40"/>
      <c r="P30" s="40"/>
    </row>
    <row r="31" spans="2:16" x14ac:dyDescent="0.25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43"/>
      <c r="O31" s="43"/>
      <c r="P31" s="43"/>
    </row>
    <row r="32" spans="2:16" ht="30" x14ac:dyDescent="0.25">
      <c r="B32" s="62" t="s">
        <v>75</v>
      </c>
      <c r="C32" s="62">
        <v>1.0000009999999999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45">
        <v>0</v>
      </c>
      <c r="M32" s="45">
        <v>0</v>
      </c>
      <c r="N32" s="40"/>
      <c r="O32" s="59"/>
      <c r="P32" s="60"/>
    </row>
    <row r="33" spans="2:17" x14ac:dyDescent="0.25">
      <c r="B33" s="62"/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45">
        <v>0</v>
      </c>
      <c r="M33" s="45">
        <v>0</v>
      </c>
      <c r="N33" s="40"/>
      <c r="O33" s="59"/>
      <c r="P33" s="60"/>
      <c r="Q33" s="40"/>
    </row>
    <row r="34" spans="2:17" ht="30" x14ac:dyDescent="0.25">
      <c r="B34" s="63" t="s">
        <v>76</v>
      </c>
      <c r="C34" s="62">
        <v>-0.45839662913907259</v>
      </c>
      <c r="D34" s="62">
        <v>-0.45839662913907275</v>
      </c>
      <c r="E34" s="62">
        <v>-0.21939566887417222</v>
      </c>
      <c r="F34" s="62">
        <v>0</v>
      </c>
      <c r="G34" s="62">
        <v>-0.59379772185430491</v>
      </c>
      <c r="H34" s="62">
        <v>-0.67503837748344386</v>
      </c>
      <c r="I34" s="62">
        <v>0</v>
      </c>
      <c r="J34" s="62">
        <v>0</v>
      </c>
      <c r="K34" s="62">
        <v>0</v>
      </c>
      <c r="L34" s="62">
        <v>-0.45839662913907286</v>
      </c>
      <c r="M34" s="62">
        <v>-0.29689886092715229</v>
      </c>
      <c r="N34" s="40"/>
      <c r="O34" s="40"/>
      <c r="P34" s="40"/>
      <c r="Q34" s="59"/>
    </row>
    <row r="35" spans="2:17" x14ac:dyDescent="0.25">
      <c r="B35" s="63"/>
      <c r="C35" s="62">
        <v>0.45839662913907259</v>
      </c>
      <c r="D35" s="62">
        <v>0.45839662913907275</v>
      </c>
      <c r="E35" s="62">
        <v>0.21939566887417222</v>
      </c>
      <c r="F35" s="62">
        <v>0</v>
      </c>
      <c r="G35" s="62">
        <v>0.59379772185430491</v>
      </c>
      <c r="H35" s="62">
        <v>0.67503837748344386</v>
      </c>
      <c r="I35" s="62">
        <v>0</v>
      </c>
      <c r="J35" s="62">
        <v>0</v>
      </c>
      <c r="K35" s="62">
        <v>0</v>
      </c>
      <c r="L35" s="62">
        <v>0.45839662913907286</v>
      </c>
      <c r="M35" s="62">
        <v>0.29689886092715229</v>
      </c>
      <c r="N35" s="40"/>
      <c r="O35" s="40"/>
      <c r="P35" s="40"/>
      <c r="Q35" s="59"/>
    </row>
    <row r="36" spans="2:17" x14ac:dyDescent="0.25">
      <c r="B36" s="63"/>
      <c r="C36" s="62">
        <v>0</v>
      </c>
      <c r="D36" s="62">
        <v>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45">
        <v>0</v>
      </c>
      <c r="M36" s="45">
        <v>0</v>
      </c>
      <c r="N36" s="40"/>
      <c r="O36" s="40"/>
      <c r="P36" s="40"/>
      <c r="Q36" s="59"/>
    </row>
    <row r="37" spans="2:17" ht="30" x14ac:dyDescent="0.25">
      <c r="B37" s="63" t="s">
        <v>77</v>
      </c>
      <c r="C37" s="62">
        <v>-0.17629462693156744</v>
      </c>
      <c r="D37" s="62">
        <v>-0.17629462693156739</v>
      </c>
      <c r="E37" s="62">
        <v>0</v>
      </c>
      <c r="F37" s="62">
        <v>-0.32909350331125831</v>
      </c>
      <c r="G37" s="62">
        <v>-7.0946238410595996E-2</v>
      </c>
      <c r="H37" s="62">
        <v>-0.19408582781456954</v>
      </c>
      <c r="I37" s="62">
        <v>-0.21939566887417222</v>
      </c>
      <c r="J37" s="62">
        <v>-0.32909350331125831</v>
      </c>
      <c r="K37" s="62">
        <v>-0.21939566887417222</v>
      </c>
      <c r="L37" s="62">
        <v>-6.6596792494481277E-2</v>
      </c>
      <c r="M37" s="62">
        <v>-7.094623841059608E-2</v>
      </c>
      <c r="N37" s="40"/>
      <c r="O37" s="40"/>
      <c r="P37" s="40"/>
      <c r="Q37" s="59"/>
    </row>
    <row r="38" spans="2:17" x14ac:dyDescent="0.25">
      <c r="B38" s="63"/>
      <c r="C38" s="62">
        <v>0.17629462693156744</v>
      </c>
      <c r="D38" s="62">
        <v>0.17629462693156739</v>
      </c>
      <c r="E38" s="62">
        <v>0</v>
      </c>
      <c r="F38" s="62">
        <v>0.32909350331125831</v>
      </c>
      <c r="G38" s="62">
        <v>7.0946238410595996E-2</v>
      </c>
      <c r="H38" s="62">
        <v>0.19408582781456954</v>
      </c>
      <c r="I38" s="62">
        <v>0.21939566887417222</v>
      </c>
      <c r="J38" s="62">
        <v>0.32909350331125831</v>
      </c>
      <c r="K38" s="62">
        <v>0.21939566887417222</v>
      </c>
      <c r="L38" s="62">
        <v>6.6596792494481277E-2</v>
      </c>
      <c r="M38" s="62">
        <v>7.094623841059608E-2</v>
      </c>
      <c r="N38" s="40"/>
      <c r="O38" s="40"/>
      <c r="P38" s="40"/>
      <c r="Q38" s="59"/>
    </row>
    <row r="39" spans="2:17" x14ac:dyDescent="0.2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40"/>
      <c r="M39" s="40"/>
      <c r="N39" s="40"/>
      <c r="O39" s="59"/>
      <c r="P39" s="60"/>
      <c r="Q39" s="40"/>
    </row>
    <row r="40" spans="2:17" x14ac:dyDescent="0.25">
      <c r="B40" s="61"/>
      <c r="C40" s="61"/>
      <c r="D40" s="59"/>
      <c r="E40" s="59"/>
      <c r="F40" s="59"/>
      <c r="G40" s="59"/>
      <c r="H40" s="59"/>
      <c r="I40" s="59"/>
      <c r="J40" s="59"/>
      <c r="K40" s="59"/>
      <c r="L40" s="40"/>
      <c r="M40" s="40"/>
      <c r="N40" s="40"/>
      <c r="O40" s="59"/>
      <c r="P40" s="60"/>
      <c r="Q40" s="40"/>
    </row>
    <row r="41" spans="2:17" x14ac:dyDescent="0.25">
      <c r="B41" s="56"/>
      <c r="C41" s="56"/>
      <c r="D41" s="55"/>
      <c r="E41" s="55"/>
      <c r="F41" s="55"/>
      <c r="G41" s="55"/>
      <c r="H41" s="55"/>
      <c r="I41" s="55"/>
      <c r="J41" s="55"/>
      <c r="K41" s="55"/>
      <c r="L41" s="55"/>
      <c r="M41" s="40"/>
      <c r="N41" s="40"/>
      <c r="O41" s="40"/>
      <c r="P41" s="40"/>
      <c r="Q41" s="40"/>
    </row>
    <row r="42" spans="2:17" x14ac:dyDescent="0.25">
      <c r="B42" s="49"/>
      <c r="C42" s="49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</row>
  </sheetData>
  <mergeCells count="2">
    <mergeCell ref="I28:J28"/>
    <mergeCell ref="B25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drivers swara</vt:lpstr>
      <vt:lpstr>challenges swara</vt:lpstr>
      <vt:lpstr>bwm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GÖZDE KOCA</dc:creator>
  <cp:lastModifiedBy>user</cp:lastModifiedBy>
  <dcterms:created xsi:type="dcterms:W3CDTF">2019-11-19T18:41:14Z</dcterms:created>
  <dcterms:modified xsi:type="dcterms:W3CDTF">2020-07-11T18:22:18Z</dcterms:modified>
</cp:coreProperties>
</file>