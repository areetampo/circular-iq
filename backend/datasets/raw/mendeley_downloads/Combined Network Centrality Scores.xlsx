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7"/>
  <workbookPr/>
  <xr:revisionPtr revIDLastSave="7" documentId="11_56799414B0637C1988D51BA30879FF1C64FB5A23" xr6:coauthVersionLast="47" xr6:coauthVersionMax="47" xr10:uidLastSave="{8A2668A2-F6E7-40E2-B829-F5ABE2AB3AEA}"/>
  <bookViews>
    <workbookView xWindow="0" yWindow="0" windowWidth="16384" windowHeight="8192" tabRatio="500" firstSheet="1" activeTab="1" xr2:uid="{00000000-000D-0000-FFFF-FFFF00000000}"/>
  </bookViews>
  <sheets>
    <sheet name="CO2 flows in Scenario 1 and Sce" sheetId="1" r:id="rId1"/>
    <sheet name="CO2 Network Scenarios" sheetId="2" r:id="rId2"/>
    <sheet name="Water flows in Scenario 1 and S" sheetId="3" r:id="rId3"/>
    <sheet name="Water Network Scenarios" sheetId="4" r:id="rId4"/>
    <sheet name="Total reuse flows in Scenario 1" sheetId="5" r:id="rId5"/>
    <sheet name="Combined Network Scenarios" sheetId="6" r:id="rId6"/>
    <sheet name="unweighted Combined Network Sce" sheetId="7" r:id="rId7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31" i="7" l="1"/>
  <c r="J31" i="7"/>
  <c r="I31" i="7"/>
  <c r="H31" i="7"/>
  <c r="G31" i="7"/>
  <c r="F31" i="7"/>
  <c r="E31" i="7"/>
  <c r="P30" i="7"/>
  <c r="O30" i="7"/>
  <c r="N30" i="7"/>
  <c r="M30" i="7"/>
  <c r="L30" i="7"/>
  <c r="P29" i="7"/>
  <c r="O29" i="7"/>
  <c r="N29" i="7"/>
  <c r="M29" i="7"/>
  <c r="L29" i="7"/>
  <c r="P28" i="7"/>
  <c r="O28" i="7"/>
  <c r="N28" i="7"/>
  <c r="M28" i="7"/>
  <c r="L28" i="7"/>
  <c r="A28" i="7"/>
  <c r="P27" i="7"/>
  <c r="O27" i="7"/>
  <c r="N27" i="7"/>
  <c r="M27" i="7"/>
  <c r="L27" i="7"/>
  <c r="B27" i="7"/>
  <c r="A27" i="7"/>
  <c r="P26" i="7"/>
  <c r="O26" i="7"/>
  <c r="N26" i="7"/>
  <c r="M26" i="7"/>
  <c r="L26" i="7"/>
  <c r="B26" i="7"/>
  <c r="A26" i="7"/>
  <c r="P25" i="7"/>
  <c r="O25" i="7"/>
  <c r="N25" i="7"/>
  <c r="M25" i="7"/>
  <c r="L25" i="7"/>
  <c r="A25" i="7"/>
  <c r="P24" i="7"/>
  <c r="O24" i="7"/>
  <c r="N24" i="7"/>
  <c r="M24" i="7"/>
  <c r="L24" i="7"/>
  <c r="P23" i="7"/>
  <c r="O23" i="7"/>
  <c r="N23" i="7"/>
  <c r="M23" i="7"/>
  <c r="L23" i="7"/>
  <c r="A23" i="7"/>
  <c r="P22" i="7"/>
  <c r="O22" i="7"/>
  <c r="N22" i="7"/>
  <c r="M22" i="7"/>
  <c r="L22" i="7"/>
  <c r="B22" i="7"/>
  <c r="A22" i="7"/>
  <c r="P21" i="7"/>
  <c r="O21" i="7"/>
  <c r="N21" i="7"/>
  <c r="M21" i="7"/>
  <c r="L21" i="7"/>
  <c r="B21" i="7"/>
  <c r="A21" i="7"/>
  <c r="P20" i="7"/>
  <c r="O20" i="7"/>
  <c r="N20" i="7"/>
  <c r="M20" i="7"/>
  <c r="L20" i="7"/>
  <c r="B20" i="7"/>
  <c r="A20" i="7"/>
  <c r="P19" i="7"/>
  <c r="O19" i="7"/>
  <c r="N19" i="7"/>
  <c r="M19" i="7"/>
  <c r="L19" i="7"/>
  <c r="B19" i="7"/>
  <c r="A19" i="7"/>
  <c r="P18" i="7"/>
  <c r="P31" i="7" s="1"/>
  <c r="O18" i="7"/>
  <c r="O31" i="7" s="1"/>
  <c r="N18" i="7"/>
  <c r="N31" i="7" s="1"/>
  <c r="M18" i="7"/>
  <c r="M31" i="7" s="1"/>
  <c r="L18" i="7"/>
  <c r="L31" i="7" s="1"/>
  <c r="A18" i="7"/>
  <c r="K15" i="7"/>
  <c r="J15" i="7"/>
  <c r="I15" i="7"/>
  <c r="H15" i="7"/>
  <c r="G15" i="7"/>
  <c r="F15" i="7"/>
  <c r="E15" i="7"/>
  <c r="P14" i="7"/>
  <c r="O14" i="7"/>
  <c r="N14" i="7"/>
  <c r="M14" i="7"/>
  <c r="L14" i="7"/>
  <c r="A14" i="7"/>
  <c r="P13" i="7"/>
  <c r="O13" i="7"/>
  <c r="N13" i="7"/>
  <c r="M13" i="7"/>
  <c r="L13" i="7"/>
  <c r="B13" i="7"/>
  <c r="A13" i="7"/>
  <c r="P12" i="7"/>
  <c r="O12" i="7"/>
  <c r="N12" i="7"/>
  <c r="M12" i="7"/>
  <c r="L12" i="7"/>
  <c r="B12" i="7"/>
  <c r="A12" i="7"/>
  <c r="P11" i="7"/>
  <c r="O11" i="7"/>
  <c r="N11" i="7"/>
  <c r="M11" i="7"/>
  <c r="L11" i="7"/>
  <c r="A11" i="7"/>
  <c r="P10" i="7"/>
  <c r="O10" i="7"/>
  <c r="N10" i="7"/>
  <c r="M10" i="7"/>
  <c r="L10" i="7"/>
  <c r="P9" i="7"/>
  <c r="O9" i="7"/>
  <c r="N9" i="7"/>
  <c r="M9" i="7"/>
  <c r="L9" i="7"/>
  <c r="A9" i="7"/>
  <c r="P8" i="7"/>
  <c r="O8" i="7"/>
  <c r="N8" i="7"/>
  <c r="M8" i="7"/>
  <c r="L8" i="7"/>
  <c r="B8" i="7"/>
  <c r="A8" i="7"/>
  <c r="P7" i="7"/>
  <c r="O7" i="7"/>
  <c r="N7" i="7"/>
  <c r="M7" i="7"/>
  <c r="L7" i="7"/>
  <c r="B7" i="7"/>
  <c r="A7" i="7"/>
  <c r="P6" i="7"/>
  <c r="O6" i="7"/>
  <c r="N6" i="7"/>
  <c r="M6" i="7"/>
  <c r="L6" i="7"/>
  <c r="B6" i="7"/>
  <c r="A6" i="7"/>
  <c r="P5" i="7"/>
  <c r="O5" i="7"/>
  <c r="N5" i="7"/>
  <c r="M5" i="7"/>
  <c r="L5" i="7"/>
  <c r="B5" i="7"/>
  <c r="A5" i="7"/>
  <c r="P4" i="7"/>
  <c r="P15" i="7" s="1"/>
  <c r="O4" i="7"/>
  <c r="O15" i="7" s="1"/>
  <c r="N4" i="7"/>
  <c r="N15" i="7" s="1"/>
  <c r="M4" i="7"/>
  <c r="M15" i="7" s="1"/>
  <c r="L4" i="7"/>
  <c r="L15" i="7" s="1"/>
  <c r="A4" i="7"/>
  <c r="B2" i="7"/>
  <c r="A2" i="7"/>
  <c r="K31" i="6"/>
  <c r="J31" i="6"/>
  <c r="I31" i="6"/>
  <c r="H31" i="6"/>
  <c r="G31" i="6"/>
  <c r="F31" i="6"/>
  <c r="E31" i="6"/>
  <c r="P30" i="6"/>
  <c r="O30" i="6"/>
  <c r="N30" i="6"/>
  <c r="M30" i="6"/>
  <c r="L30" i="6"/>
  <c r="P29" i="6"/>
  <c r="O29" i="6"/>
  <c r="N29" i="6"/>
  <c r="M29" i="6"/>
  <c r="L29" i="6"/>
  <c r="P28" i="6"/>
  <c r="O28" i="6"/>
  <c r="N28" i="6"/>
  <c r="M28" i="6"/>
  <c r="L28" i="6"/>
  <c r="A28" i="6"/>
  <c r="P27" i="6"/>
  <c r="O27" i="6"/>
  <c r="N27" i="6"/>
  <c r="M27" i="6"/>
  <c r="L27" i="6"/>
  <c r="B27" i="6"/>
  <c r="A27" i="6"/>
  <c r="P26" i="6"/>
  <c r="O26" i="6"/>
  <c r="N26" i="6"/>
  <c r="M26" i="6"/>
  <c r="L26" i="6"/>
  <c r="B26" i="6"/>
  <c r="A26" i="6"/>
  <c r="P25" i="6"/>
  <c r="O25" i="6"/>
  <c r="N25" i="6"/>
  <c r="M25" i="6"/>
  <c r="L25" i="6"/>
  <c r="A25" i="6"/>
  <c r="P24" i="6"/>
  <c r="O24" i="6"/>
  <c r="N24" i="6"/>
  <c r="M24" i="6"/>
  <c r="L24" i="6"/>
  <c r="P23" i="6"/>
  <c r="O23" i="6"/>
  <c r="N23" i="6"/>
  <c r="M23" i="6"/>
  <c r="L23" i="6"/>
  <c r="A23" i="6"/>
  <c r="P22" i="6"/>
  <c r="O22" i="6"/>
  <c r="N22" i="6"/>
  <c r="M22" i="6"/>
  <c r="L22" i="6"/>
  <c r="B22" i="6"/>
  <c r="A22" i="6"/>
  <c r="P21" i="6"/>
  <c r="O21" i="6"/>
  <c r="N21" i="6"/>
  <c r="M21" i="6"/>
  <c r="L21" i="6"/>
  <c r="B21" i="6"/>
  <c r="A21" i="6"/>
  <c r="P20" i="6"/>
  <c r="O20" i="6"/>
  <c r="N20" i="6"/>
  <c r="M20" i="6"/>
  <c r="L20" i="6"/>
  <c r="B20" i="6"/>
  <c r="A20" i="6"/>
  <c r="P19" i="6"/>
  <c r="O19" i="6"/>
  <c r="N19" i="6"/>
  <c r="M19" i="6"/>
  <c r="L19" i="6"/>
  <c r="B19" i="6"/>
  <c r="A19" i="6"/>
  <c r="P18" i="6"/>
  <c r="P31" i="6" s="1"/>
  <c r="O18" i="6"/>
  <c r="O31" i="6" s="1"/>
  <c r="N18" i="6"/>
  <c r="N31" i="6" s="1"/>
  <c r="M18" i="6"/>
  <c r="M31" i="6" s="1"/>
  <c r="L18" i="6"/>
  <c r="L31" i="6" s="1"/>
  <c r="A18" i="6"/>
  <c r="K15" i="6"/>
  <c r="J15" i="6"/>
  <c r="I15" i="6"/>
  <c r="H15" i="6"/>
  <c r="G15" i="6"/>
  <c r="F15" i="6"/>
  <c r="E15" i="6"/>
  <c r="P14" i="6"/>
  <c r="O14" i="6"/>
  <c r="N14" i="6"/>
  <c r="M14" i="6"/>
  <c r="L14" i="6"/>
  <c r="A14" i="6"/>
  <c r="P13" i="6"/>
  <c r="O13" i="6"/>
  <c r="N13" i="6"/>
  <c r="M13" i="6"/>
  <c r="L13" i="6"/>
  <c r="B13" i="6"/>
  <c r="A13" i="6"/>
  <c r="P12" i="6"/>
  <c r="O12" i="6"/>
  <c r="N12" i="6"/>
  <c r="M12" i="6"/>
  <c r="L12" i="6"/>
  <c r="B12" i="6"/>
  <c r="A12" i="6"/>
  <c r="P11" i="6"/>
  <c r="O11" i="6"/>
  <c r="N11" i="6"/>
  <c r="M11" i="6"/>
  <c r="L11" i="6"/>
  <c r="A11" i="6"/>
  <c r="P10" i="6"/>
  <c r="O10" i="6"/>
  <c r="N10" i="6"/>
  <c r="M10" i="6"/>
  <c r="L10" i="6"/>
  <c r="P9" i="6"/>
  <c r="O9" i="6"/>
  <c r="N9" i="6"/>
  <c r="M9" i="6"/>
  <c r="L9" i="6"/>
  <c r="A9" i="6"/>
  <c r="P8" i="6"/>
  <c r="O8" i="6"/>
  <c r="N8" i="6"/>
  <c r="M8" i="6"/>
  <c r="L8" i="6"/>
  <c r="B8" i="6"/>
  <c r="A8" i="6"/>
  <c r="P7" i="6"/>
  <c r="O7" i="6"/>
  <c r="N7" i="6"/>
  <c r="M7" i="6"/>
  <c r="L7" i="6"/>
  <c r="B7" i="6"/>
  <c r="A7" i="6"/>
  <c r="P6" i="6"/>
  <c r="O6" i="6"/>
  <c r="N6" i="6"/>
  <c r="M6" i="6"/>
  <c r="L6" i="6"/>
  <c r="B6" i="6"/>
  <c r="A6" i="6"/>
  <c r="P5" i="6"/>
  <c r="O5" i="6"/>
  <c r="N5" i="6"/>
  <c r="M5" i="6"/>
  <c r="L5" i="6"/>
  <c r="B5" i="6"/>
  <c r="A5" i="6"/>
  <c r="P4" i="6"/>
  <c r="P15" i="6" s="1"/>
  <c r="O4" i="6"/>
  <c r="O15" i="6" s="1"/>
  <c r="N4" i="6"/>
  <c r="N15" i="6" s="1"/>
  <c r="M4" i="6"/>
  <c r="M15" i="6" s="1"/>
  <c r="L4" i="6"/>
  <c r="L15" i="6" s="1"/>
  <c r="A4" i="6"/>
  <c r="B2" i="6"/>
  <c r="A2" i="6"/>
  <c r="K29" i="4"/>
  <c r="J29" i="4"/>
  <c r="H29" i="4"/>
  <c r="G29" i="4"/>
  <c r="F29" i="4"/>
  <c r="E29" i="4"/>
  <c r="O28" i="4"/>
  <c r="N28" i="4"/>
  <c r="M28" i="4"/>
  <c r="L28" i="4"/>
  <c r="A28" i="4"/>
  <c r="O27" i="4"/>
  <c r="N27" i="4"/>
  <c r="M27" i="4"/>
  <c r="L27" i="4"/>
  <c r="B27" i="4"/>
  <c r="A27" i="4"/>
  <c r="O26" i="4"/>
  <c r="N26" i="4"/>
  <c r="M26" i="4"/>
  <c r="L26" i="4"/>
  <c r="B26" i="4"/>
  <c r="A26" i="4"/>
  <c r="O25" i="4"/>
  <c r="N25" i="4"/>
  <c r="M25" i="4"/>
  <c r="L25" i="4"/>
  <c r="A25" i="4"/>
  <c r="O24" i="4"/>
  <c r="N24" i="4"/>
  <c r="M24" i="4"/>
  <c r="L24" i="4"/>
  <c r="O23" i="4"/>
  <c r="N23" i="4"/>
  <c r="M23" i="4"/>
  <c r="L23" i="4"/>
  <c r="A23" i="4"/>
  <c r="O22" i="4"/>
  <c r="N22" i="4"/>
  <c r="M22" i="4"/>
  <c r="L22" i="4"/>
  <c r="B22" i="4"/>
  <c r="A22" i="4"/>
  <c r="O21" i="4"/>
  <c r="N21" i="4"/>
  <c r="M21" i="4"/>
  <c r="L21" i="4"/>
  <c r="B21" i="4"/>
  <c r="A21" i="4"/>
  <c r="O20" i="4"/>
  <c r="N20" i="4"/>
  <c r="M20" i="4"/>
  <c r="L20" i="4"/>
  <c r="B20" i="4"/>
  <c r="A20" i="4"/>
  <c r="O19" i="4"/>
  <c r="N19" i="4"/>
  <c r="M19" i="4"/>
  <c r="L19" i="4"/>
  <c r="B19" i="4"/>
  <c r="A19" i="4"/>
  <c r="O18" i="4"/>
  <c r="O29" i="4" s="1"/>
  <c r="N18" i="4"/>
  <c r="N29" i="4" s="1"/>
  <c r="M18" i="4"/>
  <c r="M29" i="4" s="1"/>
  <c r="L18" i="4"/>
  <c r="L29" i="4" s="1"/>
  <c r="A18" i="4"/>
  <c r="K15" i="4"/>
  <c r="J15" i="4"/>
  <c r="H15" i="4"/>
  <c r="G15" i="4"/>
  <c r="F15" i="4"/>
  <c r="E15" i="4"/>
  <c r="O14" i="4"/>
  <c r="N14" i="4"/>
  <c r="M14" i="4"/>
  <c r="L14" i="4"/>
  <c r="A14" i="4"/>
  <c r="O13" i="4"/>
  <c r="N13" i="4"/>
  <c r="M13" i="4"/>
  <c r="L13" i="4"/>
  <c r="B13" i="4"/>
  <c r="A13" i="4"/>
  <c r="O12" i="4"/>
  <c r="N12" i="4"/>
  <c r="M12" i="4"/>
  <c r="L12" i="4"/>
  <c r="B12" i="4"/>
  <c r="A12" i="4"/>
  <c r="O11" i="4"/>
  <c r="N11" i="4"/>
  <c r="M11" i="4"/>
  <c r="L11" i="4"/>
  <c r="A11" i="4"/>
  <c r="O10" i="4"/>
  <c r="N10" i="4"/>
  <c r="M10" i="4"/>
  <c r="L10" i="4"/>
  <c r="O9" i="4"/>
  <c r="N9" i="4"/>
  <c r="M9" i="4"/>
  <c r="L9" i="4"/>
  <c r="A9" i="4"/>
  <c r="O8" i="4"/>
  <c r="N8" i="4"/>
  <c r="M8" i="4"/>
  <c r="L8" i="4"/>
  <c r="B8" i="4"/>
  <c r="A8" i="4"/>
  <c r="O7" i="4"/>
  <c r="N7" i="4"/>
  <c r="M7" i="4"/>
  <c r="L7" i="4"/>
  <c r="B7" i="4"/>
  <c r="A7" i="4"/>
  <c r="O6" i="4"/>
  <c r="N6" i="4"/>
  <c r="M6" i="4"/>
  <c r="L6" i="4"/>
  <c r="B6" i="4"/>
  <c r="A6" i="4"/>
  <c r="O5" i="4"/>
  <c r="N5" i="4"/>
  <c r="M5" i="4"/>
  <c r="L5" i="4"/>
  <c r="B5" i="4"/>
  <c r="A5" i="4"/>
  <c r="O4" i="4"/>
  <c r="O15" i="4" s="1"/>
  <c r="N4" i="4"/>
  <c r="N15" i="4" s="1"/>
  <c r="M4" i="4"/>
  <c r="M15" i="4" s="1"/>
  <c r="L4" i="4"/>
  <c r="L15" i="4" s="1"/>
  <c r="A4" i="4"/>
  <c r="B2" i="4"/>
  <c r="A2" i="4"/>
  <c r="A27" i="2"/>
  <c r="K26" i="2"/>
  <c r="J26" i="2"/>
  <c r="H26" i="2"/>
  <c r="G26" i="2"/>
  <c r="F26" i="2"/>
  <c r="E26" i="2"/>
  <c r="B26" i="2"/>
  <c r="A26" i="2"/>
  <c r="O25" i="2"/>
  <c r="N25" i="2"/>
  <c r="M25" i="2"/>
  <c r="L25" i="2"/>
  <c r="B25" i="2"/>
  <c r="A25" i="2"/>
  <c r="O24" i="2"/>
  <c r="N24" i="2"/>
  <c r="M24" i="2"/>
  <c r="L24" i="2"/>
  <c r="A24" i="2"/>
  <c r="O23" i="2"/>
  <c r="N23" i="2"/>
  <c r="M23" i="2"/>
  <c r="L23" i="2"/>
  <c r="O22" i="2"/>
  <c r="N22" i="2"/>
  <c r="M22" i="2"/>
  <c r="L22" i="2"/>
  <c r="A22" i="2"/>
  <c r="O21" i="2"/>
  <c r="N21" i="2"/>
  <c r="M21" i="2"/>
  <c r="L21" i="2"/>
  <c r="B21" i="2"/>
  <c r="A21" i="2"/>
  <c r="O20" i="2"/>
  <c r="N20" i="2"/>
  <c r="M20" i="2"/>
  <c r="L20" i="2"/>
  <c r="B20" i="2"/>
  <c r="A20" i="2"/>
  <c r="O19" i="2"/>
  <c r="N19" i="2"/>
  <c r="M19" i="2"/>
  <c r="L19" i="2"/>
  <c r="B19" i="2"/>
  <c r="A19" i="2"/>
  <c r="O18" i="2"/>
  <c r="N18" i="2"/>
  <c r="M18" i="2"/>
  <c r="L18" i="2"/>
  <c r="B18" i="2"/>
  <c r="A18" i="2"/>
  <c r="O17" i="2"/>
  <c r="O26" i="2" s="1"/>
  <c r="N17" i="2"/>
  <c r="N26" i="2" s="1"/>
  <c r="M17" i="2"/>
  <c r="M26" i="2" s="1"/>
  <c r="L17" i="2"/>
  <c r="L26" i="2" s="1"/>
  <c r="A17" i="2"/>
  <c r="A14" i="2"/>
  <c r="B13" i="2"/>
  <c r="A13" i="2"/>
  <c r="B12" i="2"/>
  <c r="A12" i="2"/>
  <c r="A11" i="2"/>
  <c r="K10" i="2"/>
  <c r="J10" i="2"/>
  <c r="H10" i="2"/>
  <c r="G10" i="2"/>
  <c r="F10" i="2"/>
  <c r="E10" i="2"/>
  <c r="O9" i="2"/>
  <c r="N9" i="2"/>
  <c r="M9" i="2"/>
  <c r="L9" i="2"/>
  <c r="A9" i="2"/>
  <c r="O8" i="2"/>
  <c r="N8" i="2"/>
  <c r="M8" i="2"/>
  <c r="L8" i="2"/>
  <c r="B8" i="2"/>
  <c r="A8" i="2"/>
  <c r="O7" i="2"/>
  <c r="N7" i="2"/>
  <c r="M7" i="2"/>
  <c r="L7" i="2"/>
  <c r="B7" i="2"/>
  <c r="A7" i="2"/>
  <c r="O6" i="2"/>
  <c r="N6" i="2"/>
  <c r="M6" i="2"/>
  <c r="L6" i="2"/>
  <c r="B6" i="2"/>
  <c r="A6" i="2"/>
  <c r="O5" i="2"/>
  <c r="N5" i="2"/>
  <c r="M5" i="2"/>
  <c r="L5" i="2"/>
  <c r="B5" i="2"/>
  <c r="A5" i="2"/>
  <c r="O4" i="2"/>
  <c r="O10" i="2" s="1"/>
  <c r="N4" i="2"/>
  <c r="N10" i="2" s="1"/>
  <c r="M4" i="2"/>
  <c r="M10" i="2" s="1"/>
  <c r="L4" i="2"/>
  <c r="L10" i="2" s="1"/>
  <c r="A4" i="2"/>
  <c r="B2" i="2"/>
  <c r="A2" i="2"/>
</calcChain>
</file>

<file path=xl/sharedStrings.xml><?xml version="1.0" encoding="utf-8"?>
<sst xmlns="http://schemas.openxmlformats.org/spreadsheetml/2006/main" count="307" uniqueCount="75">
  <si>
    <r>
      <rPr>
        <b/>
        <sz val="11"/>
        <color theme="1"/>
        <rFont val="Calibri"/>
        <family val="2"/>
        <charset val="1"/>
      </rPr>
      <t>Figure 1. Optimal CO</t>
    </r>
    <r>
      <rPr>
        <b/>
        <vertAlign val="subscript"/>
        <sz val="11"/>
        <color theme="1"/>
        <rFont val="Calibri"/>
        <family val="2"/>
        <charset val="1"/>
      </rPr>
      <t>2</t>
    </r>
    <r>
      <rPr>
        <b/>
        <sz val="11"/>
        <color theme="1"/>
        <rFont val="Calibri"/>
        <family val="2"/>
        <charset val="1"/>
      </rPr>
      <t xml:space="preserve"> flows (kg/h) for Scenario 1 ISN.</t>
    </r>
  </si>
  <si>
    <r>
      <rPr>
        <b/>
        <sz val="11"/>
        <color theme="1"/>
        <rFont val="Calibri"/>
        <family val="2"/>
        <charset val="1"/>
      </rPr>
      <t>Figure 2. Optimal CO</t>
    </r>
    <r>
      <rPr>
        <b/>
        <vertAlign val="subscript"/>
        <sz val="11"/>
        <color theme="1"/>
        <rFont val="Calibri"/>
        <family val="2"/>
        <charset val="1"/>
      </rPr>
      <t>2</t>
    </r>
    <r>
      <rPr>
        <b/>
        <sz val="11"/>
        <color theme="1"/>
        <rFont val="Calibri"/>
        <family val="2"/>
        <charset val="1"/>
      </rPr>
      <t xml:space="preserve"> flows (kg/h) for Scenario 2 ISN.</t>
    </r>
  </si>
  <si>
    <t>Loops and connectance calculations</t>
  </si>
  <si>
    <t>Raw MATLAB arrays Plants x centrality (degree, closeness, betweeness, hub &amp; authority)</t>
  </si>
  <si>
    <t>Nondimensional degrees and closenesses</t>
  </si>
  <si>
    <t>number of nodes = 14</t>
  </si>
  <si>
    <t>Scenario 1</t>
  </si>
  <si>
    <t>Name</t>
  </si>
  <si>
    <t>outDg</t>
  </si>
  <si>
    <t>outCl</t>
  </si>
  <si>
    <t>inDg</t>
  </si>
  <si>
    <t>inCl</t>
  </si>
  <si>
    <t>betwn</t>
  </si>
  <si>
    <t>hubs</t>
  </si>
  <si>
    <t>auths</t>
  </si>
  <si>
    <t>NDoutDg</t>
  </si>
  <si>
    <t>NDoutCl</t>
  </si>
  <si>
    <t>NDinDg</t>
  </si>
  <si>
    <t>NDinCl</t>
  </si>
  <si>
    <t>'A1'</t>
  </si>
  <si>
    <t>Network with any selfloops:</t>
  </si>
  <si>
    <t>'A2'</t>
  </si>
  <si>
    <t>Plants = 6</t>
  </si>
  <si>
    <t>'M1'</t>
  </si>
  <si>
    <t>Links = 4</t>
  </si>
  <si>
    <t>'M2'</t>
  </si>
  <si>
    <t>Maximum number of links = 30</t>
  </si>
  <si>
    <t>'M3'</t>
  </si>
  <si>
    <t>Graph density = 0.13333</t>
  </si>
  <si>
    <t>'U'</t>
  </si>
  <si>
    <t>Directed graph is acyclic</t>
  </si>
  <si>
    <t>Σ</t>
  </si>
  <si>
    <t>Network with selfloops removed:</t>
  </si>
  <si>
    <t>Non-selflinking links = 4</t>
  </si>
  <si>
    <t>Eco-connectance = 0.13333</t>
  </si>
  <si>
    <t>Scenario 2</t>
  </si>
  <si>
    <t>Plants = 9</t>
  </si>
  <si>
    <t>'A4'</t>
  </si>
  <si>
    <t>Links = 6</t>
  </si>
  <si>
    <t>Maximum number of links = 72</t>
  </si>
  <si>
    <t>Graph density = 0.083333</t>
  </si>
  <si>
    <t>'MC'</t>
  </si>
  <si>
    <t>'PC'</t>
  </si>
  <si>
    <t>Non-selflinking links = 6</t>
  </si>
  <si>
    <t>Eco-connectance = 0.083333</t>
  </si>
  <si>
    <r>
      <rPr>
        <b/>
        <sz val="11"/>
        <color theme="1"/>
        <rFont val="Calibri"/>
        <family val="2"/>
        <charset val="1"/>
      </rPr>
      <t>Plant key:</t>
    </r>
    <r>
      <rPr>
        <sz val="11"/>
        <color theme="1"/>
        <rFont val="Calibri"/>
        <family val="2"/>
        <charset val="1"/>
      </rPr>
      <t xml:space="preserve"> ammonia (A1–5) methanol (M1–4), urea (U), melamine (M), propylene carbonate (PC) and mineral carbonate (MC).</t>
    </r>
  </si>
  <si>
    <t>Figure 3. Optimal water flows (kg/h) for Scenario 1 ISN.</t>
  </si>
  <si>
    <t>Figure 4. Optimal water flows (kg/h) for Scenario 2 ISN.</t>
  </si>
  <si>
    <t>Plants = 11</t>
  </si>
  <si>
    <t>Links = 20</t>
  </si>
  <si>
    <t>Maximum number of links = 110</t>
  </si>
  <si>
    <t>'M4'</t>
  </si>
  <si>
    <t>Graph density = 0.18182</t>
  </si>
  <si>
    <t>Directed graph is cyclic</t>
  </si>
  <si>
    <t>'A3'</t>
  </si>
  <si>
    <t>'A5'</t>
  </si>
  <si>
    <t>Non-selflinking links = 10</t>
  </si>
  <si>
    <t>Eco-connectance = 0.090909</t>
  </si>
  <si>
    <t>'M'</t>
  </si>
  <si>
    <t>Links = 18</t>
  </si>
  <si>
    <t>Graph density = 0.16364</t>
  </si>
  <si>
    <t>Figure 5. Optimal combined material flows (kg/h) for Scenario 1 ISN.</t>
  </si>
  <si>
    <t>Figure 6. Optimal combined material flows (kg/h) for Scenario 2 ISN.</t>
  </si>
  <si>
    <t>Nondimensional degrees, closenesses and betweeness</t>
  </si>
  <si>
    <t>NDbetwn</t>
  </si>
  <si>
    <t>Links = 24</t>
  </si>
  <si>
    <t>Graph density = 0.21818</t>
  </si>
  <si>
    <t>Non-selflinking links = 14</t>
  </si>
  <si>
    <t>Eco-connectance = 0.12727</t>
  </si>
  <si>
    <t>Plants = 13</t>
  </si>
  <si>
    <t>Links = 25</t>
  </si>
  <si>
    <t>Maximum number of links = 156</t>
  </si>
  <si>
    <t>Graph density = 0.16026</t>
  </si>
  <si>
    <t>Non-selflinking links = 16</t>
  </si>
  <si>
    <t>Eco-connectance = 0.10256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</si>
</sst>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00"/>
    <numFmt numFmtId="165" formatCode="#,##0.00000"/>
    <numFmt numFmtId="166" formatCode="#,##0.0000"/>
    <numFmt numFmtId="167" formatCode="0.000"/>
    <numFmt numFmtId="168" formatCode="0.00000"/>
  </numFmts>
  <fonts count="6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vertAlign val="subscript"/>
      <sz val="11"/>
      <color theme="1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1"/>
      <color theme="1"/>
      <name val="Calibri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164" fontId="0" fillId="0" borderId="0" xfId="0" applyNumberFormat="1"/>
    <xf numFmtId="4" fontId="0" fillId="0" borderId="0" xfId="0" applyNumberFormat="1"/>
    <xf numFmtId="3" fontId="0" fillId="0" borderId="0" xfId="0" applyNumberFormat="1"/>
    <xf numFmtId="165" fontId="0" fillId="0" borderId="0" xfId="0" applyNumberFormat="1" applyAlignment="1">
      <alignment horizontal="right"/>
    </xf>
    <xf numFmtId="165" fontId="0" fillId="0" borderId="0" xfId="0" applyNumberFormat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1" fontId="0" fillId="0" borderId="0" xfId="0" applyNumberFormat="1"/>
    <xf numFmtId="0" fontId="5" fillId="0" borderId="0" xfId="0" applyFont="1"/>
    <xf numFmtId="166" fontId="0" fillId="0" borderId="0" xfId="0" applyNumberFormat="1"/>
    <xf numFmtId="167" fontId="0" fillId="0" borderId="0" xfId="0" applyNumberFormat="1"/>
    <xf numFmtId="168" fontId="0" fillId="0" borderId="0" xfId="0" applyNumberFormat="1" applyAlignment="1">
      <alignment horizontal="right"/>
    </xf>
    <xf numFmtId="11" fontId="0" fillId="0" borderId="0" xfId="0" applyNumberFormat="1" applyAlignment="1">
      <alignment horizontal="right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455400</xdr:colOff>
      <xdr:row>22</xdr:row>
      <xdr:rowOff>143640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5332320" cy="3999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13</xdr:col>
      <xdr:colOff>455400</xdr:colOff>
      <xdr:row>22</xdr:row>
      <xdr:rowOff>143640</xdr:rowOff>
    </xdr:to>
    <xdr:pic>
      <xdr:nvPicPr>
        <xdr:cNvPr id="3" name="Image 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5689440" y="0"/>
          <a:ext cx="5332320" cy="3999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455040</xdr:colOff>
      <xdr:row>22</xdr:row>
      <xdr:rowOff>143280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5331960" cy="3998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13</xdr:col>
      <xdr:colOff>455040</xdr:colOff>
      <xdr:row>22</xdr:row>
      <xdr:rowOff>143280</xdr:rowOff>
    </xdr:to>
    <xdr:pic>
      <xdr:nvPicPr>
        <xdr:cNvPr id="3" name="Imag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5388480" y="0"/>
          <a:ext cx="5331960" cy="3998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455040</xdr:colOff>
      <xdr:row>22</xdr:row>
      <xdr:rowOff>143280</xdr:rowOff>
    </xdr:to>
    <xdr:pic>
      <xdr:nvPicPr>
        <xdr:cNvPr id="4" name="Imag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5331960" cy="3998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13</xdr:col>
      <xdr:colOff>455040</xdr:colOff>
      <xdr:row>22</xdr:row>
      <xdr:rowOff>143280</xdr:rowOff>
    </xdr:to>
    <xdr:pic>
      <xdr:nvPicPr>
        <xdr:cNvPr id="5" name="Image 6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5410080" y="0"/>
          <a:ext cx="5331960" cy="39988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5"/>
  <sheetViews>
    <sheetView zoomScaleNormal="100" workbookViewId="0">
      <selection activeCell="A25" sqref="A25"/>
    </sheetView>
  </sheetViews>
  <sheetFormatPr defaultColWidth="11.5703125" defaultRowHeight="12.75"/>
  <sheetData>
    <row r="1" ht="13.9"/>
    <row r="2" ht="13.9"/>
    <row r="3" ht="13.9"/>
    <row r="4" ht="13.9"/>
    <row r="5" ht="13.9"/>
    <row r="6" ht="13.9"/>
    <row r="7" ht="13.9"/>
    <row r="8" ht="13.9"/>
    <row r="9" ht="13.9"/>
    <row r="10" ht="13.9"/>
    <row r="11" ht="13.9"/>
    <row r="12" ht="13.9"/>
    <row r="13" ht="13.9"/>
    <row r="14" ht="13.9"/>
    <row r="15" ht="13.9"/>
    <row r="16" ht="13.9"/>
    <row r="17" spans="2:9" ht="13.9"/>
    <row r="18" spans="2:9" ht="13.9"/>
    <row r="19" spans="2:9" ht="13.9"/>
    <row r="20" spans="2:9" ht="13.9"/>
    <row r="21" spans="2:9" ht="13.9"/>
    <row r="22" spans="2:9" ht="13.9"/>
    <row r="23" spans="2:9" ht="13.9"/>
    <row r="24" spans="2:9" ht="13.9"/>
    <row r="25" spans="2:9" ht="13.9">
      <c r="B25" s="2" t="s">
        <v>0</v>
      </c>
      <c r="I25" s="2" t="s">
        <v>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4"/>
  <sheetViews>
    <sheetView tabSelected="1" zoomScaleNormal="100" workbookViewId="0">
      <selection activeCell="A3" sqref="A3"/>
    </sheetView>
  </sheetViews>
  <sheetFormatPr defaultColWidth="8.7109375" defaultRowHeight="13.9"/>
  <cols>
    <col min="1" max="1" width="24.85546875" customWidth="1"/>
    <col min="3" max="3" width="6.7109375" customWidth="1"/>
    <col min="4" max="15" width="9.7109375" customWidth="1"/>
    <col min="17" max="17" width="29.5703125" style="3" customWidth="1"/>
  </cols>
  <sheetData>
    <row r="1" spans="1:17">
      <c r="A1" s="1" t="s">
        <v>2</v>
      </c>
      <c r="B1" s="1"/>
      <c r="D1" s="1" t="s">
        <v>3</v>
      </c>
      <c r="E1" s="1"/>
      <c r="F1" s="1"/>
      <c r="G1" s="1"/>
      <c r="H1" s="1"/>
      <c r="I1" s="1"/>
      <c r="J1" s="1"/>
      <c r="K1" s="1"/>
      <c r="L1" s="1" t="s">
        <v>4</v>
      </c>
      <c r="M1" s="1"/>
      <c r="N1" s="1"/>
      <c r="O1" s="1"/>
    </row>
    <row r="2" spans="1:17">
      <c r="A2" t="str">
        <f>IF(ISERR(FIND("=",Q2)),Q2,LEFT(Q2,FIND("=",Q2)))</f>
        <v>number of nodes =</v>
      </c>
      <c r="B2">
        <f>VALUE(MID(Q2,FIND("=",Q2)+2,2))</f>
        <v>14</v>
      </c>
      <c r="Q2" s="3" t="s">
        <v>5</v>
      </c>
    </row>
    <row r="3" spans="1:17">
      <c r="A3" s="4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</row>
    <row r="4" spans="1:17">
      <c r="A4" t="str">
        <f>IF(ISERR(FIND("=",Q4)),Q4,LEFT(Q4,FIND("=",Q4)))</f>
        <v>Network with any selfloops:</v>
      </c>
      <c r="D4" t="s">
        <v>19</v>
      </c>
      <c r="E4">
        <v>23.1</v>
      </c>
      <c r="F4" s="5">
        <v>1.7316017316017301E-3</v>
      </c>
      <c r="G4">
        <v>0</v>
      </c>
      <c r="H4" s="6">
        <v>0</v>
      </c>
      <c r="I4" s="7">
        <v>0</v>
      </c>
      <c r="J4" s="5">
        <v>0.33333333333333298</v>
      </c>
      <c r="K4" s="6">
        <v>0</v>
      </c>
      <c r="L4" s="8">
        <f>E4/E$10</f>
        <v>0.32398316970546981</v>
      </c>
      <c r="M4" s="8">
        <f>F4/F$10</f>
        <v>0.1882077313549394</v>
      </c>
      <c r="N4" s="8">
        <f>G4/G$10</f>
        <v>0</v>
      </c>
      <c r="O4" s="8">
        <f>H4/H$10</f>
        <v>0</v>
      </c>
      <c r="Q4" s="3" t="s">
        <v>20</v>
      </c>
    </row>
    <row r="5" spans="1:17">
      <c r="A5" t="str">
        <f>IF(ISERR(FIND("=",Q5)),Q5,LEFT(Q5,FIND("=",Q5)))</f>
        <v>Plants =</v>
      </c>
      <c r="B5">
        <f>VALUE(MID(Q5,FIND("=",Q5)+2,2))</f>
        <v>6</v>
      </c>
      <c r="D5" t="s">
        <v>21</v>
      </c>
      <c r="E5">
        <v>48.2</v>
      </c>
      <c r="F5" s="5">
        <v>7.4688796680497903E-3</v>
      </c>
      <c r="G5">
        <v>0</v>
      </c>
      <c r="H5" s="6">
        <v>0</v>
      </c>
      <c r="I5" s="7">
        <v>0</v>
      </c>
      <c r="J5" s="9">
        <v>0.66666666666666696</v>
      </c>
      <c r="K5" s="6">
        <v>0</v>
      </c>
      <c r="L5" s="8">
        <f>E5/E$10</f>
        <v>0.67601683029453008</v>
      </c>
      <c r="M5" s="8">
        <f>F5/F$10</f>
        <v>0.8117922686450606</v>
      </c>
      <c r="N5" s="8">
        <f>G5/G$10</f>
        <v>0</v>
      </c>
      <c r="O5" s="8">
        <f>H5/H$10</f>
        <v>0</v>
      </c>
      <c r="Q5" s="3" t="s">
        <v>22</v>
      </c>
    </row>
    <row r="6" spans="1:17">
      <c r="A6" t="str">
        <f>IF(ISERR(FIND("=",Q6)),Q6,LEFT(Q6,FIND("=",Q6)))</f>
        <v>Links =</v>
      </c>
      <c r="B6">
        <f>VALUE(MID(Q6,FIND("=",Q6)+2,2))</f>
        <v>4</v>
      </c>
      <c r="D6" t="s">
        <v>23</v>
      </c>
      <c r="E6">
        <v>0</v>
      </c>
      <c r="F6">
        <v>0</v>
      </c>
      <c r="G6">
        <v>11.6</v>
      </c>
      <c r="H6" s="5">
        <v>3.4482758620689698E-3</v>
      </c>
      <c r="I6" s="7">
        <v>0</v>
      </c>
      <c r="J6">
        <v>0</v>
      </c>
      <c r="K6" s="9">
        <v>0.16044260027662499</v>
      </c>
      <c r="L6" s="8">
        <f>E6/E$10</f>
        <v>0</v>
      </c>
      <c r="M6" s="8">
        <f>F6/F$10</f>
        <v>0</v>
      </c>
      <c r="N6" s="8">
        <f>G6/G$10</f>
        <v>0.16269284712482465</v>
      </c>
      <c r="O6" s="8">
        <f>H6/H$10</f>
        <v>0.36102072711434507</v>
      </c>
      <c r="Q6" s="3" t="s">
        <v>24</v>
      </c>
    </row>
    <row r="7" spans="1:17">
      <c r="A7" t="str">
        <f>IF(ISERR(FIND("=",Q7)),Q7,LEFT(Q7,FIND("=",Q7)))</f>
        <v>Maximum number of links =</v>
      </c>
      <c r="B7">
        <f>VALUE(MID(Q7,FIND("=",Q7)+2,3))</f>
        <v>30</v>
      </c>
      <c r="D7" t="s">
        <v>25</v>
      </c>
      <c r="E7">
        <v>0</v>
      </c>
      <c r="F7">
        <v>0</v>
      </c>
      <c r="G7">
        <v>18.3</v>
      </c>
      <c r="H7" s="5">
        <v>2.1857923497267799E-3</v>
      </c>
      <c r="I7" s="7">
        <v>0</v>
      </c>
      <c r="J7">
        <v>0</v>
      </c>
      <c r="K7" s="9">
        <v>0.25311203319502101</v>
      </c>
      <c r="L7" s="8">
        <f>E7/E$10</f>
        <v>0</v>
      </c>
      <c r="M7" s="8">
        <f>F7/F$10</f>
        <v>0</v>
      </c>
      <c r="N7" s="8">
        <f>G7/G$10</f>
        <v>0.2566619915848527</v>
      </c>
      <c r="O7" s="8">
        <f>H7/H$10</f>
        <v>0.22884373959160684</v>
      </c>
      <c r="Q7" s="3" t="s">
        <v>26</v>
      </c>
    </row>
    <row r="8" spans="1:17">
      <c r="A8" t="str">
        <f>IF(ISERR(FIND("=",Q8)),Q8,LEFT(Q8,FIND("=",Q8)))</f>
        <v>Graph density =</v>
      </c>
      <c r="B8">
        <f>VALUE(MID(Q8,FIND("=",Q8)+2,7))</f>
        <v>0.13333</v>
      </c>
      <c r="D8" t="s">
        <v>27</v>
      </c>
      <c r="E8">
        <v>0</v>
      </c>
      <c r="F8">
        <v>0</v>
      </c>
      <c r="G8">
        <v>18.3</v>
      </c>
      <c r="H8" s="5">
        <v>2.1857923497267799E-3</v>
      </c>
      <c r="I8" s="7">
        <v>0</v>
      </c>
      <c r="J8">
        <v>0</v>
      </c>
      <c r="K8" s="9">
        <v>0.25311203319502101</v>
      </c>
      <c r="L8" s="8">
        <f>E8/E$10</f>
        <v>0</v>
      </c>
      <c r="M8" s="8">
        <f>F8/F$10</f>
        <v>0</v>
      </c>
      <c r="N8" s="8">
        <f>G8/G$10</f>
        <v>0.2566619915848527</v>
      </c>
      <c r="O8" s="8">
        <f>H8/H$10</f>
        <v>0.22884373959160684</v>
      </c>
      <c r="Q8" s="3" t="s">
        <v>28</v>
      </c>
    </row>
    <row r="9" spans="1:17">
      <c r="A9" t="str">
        <f>IF(ISERR(FIND("=",Q9)),Q9,LEFT(Q9,FIND("=",Q9)))</f>
        <v>Directed graph is acyclic</v>
      </c>
      <c r="D9" t="s">
        <v>29</v>
      </c>
      <c r="E9">
        <v>0</v>
      </c>
      <c r="F9" s="6">
        <v>0</v>
      </c>
      <c r="G9">
        <v>23.1</v>
      </c>
      <c r="H9" s="5">
        <v>1.7316017316017301E-3</v>
      </c>
      <c r="I9" s="7">
        <v>0</v>
      </c>
      <c r="J9" s="6">
        <v>0</v>
      </c>
      <c r="K9" s="9">
        <v>0.33333333333333298</v>
      </c>
      <c r="L9" s="8">
        <f>E9/E$10</f>
        <v>0</v>
      </c>
      <c r="M9" s="8">
        <f>F9/F$10</f>
        <v>0</v>
      </c>
      <c r="N9" s="8">
        <f>G9/G$10</f>
        <v>0.32398316970546981</v>
      </c>
      <c r="O9" s="8">
        <f>H9/H$10</f>
        <v>0.18129179370244131</v>
      </c>
      <c r="Q9" s="3" t="s">
        <v>30</v>
      </c>
    </row>
    <row r="10" spans="1:17">
      <c r="D10" s="10" t="s">
        <v>31</v>
      </c>
      <c r="E10" s="11">
        <f>SUM(E4:E9)</f>
        <v>71.300000000000011</v>
      </c>
      <c r="F10" s="12">
        <f>SUM(F4:F9)</f>
        <v>9.2004813996515201E-3</v>
      </c>
      <c r="G10" s="11">
        <f>SUM(G4:G9)</f>
        <v>71.300000000000011</v>
      </c>
      <c r="H10" s="12">
        <f>SUM(H4:H9)</f>
        <v>9.5514622931242594E-3</v>
      </c>
      <c r="I10" s="7"/>
      <c r="J10" s="11">
        <f>SUM(J4:J9)</f>
        <v>1</v>
      </c>
      <c r="K10" s="11">
        <f>SUM(K4:K9)</f>
        <v>1</v>
      </c>
      <c r="L10" s="11">
        <f>SUM(L4:L9)</f>
        <v>0.99999999999999989</v>
      </c>
      <c r="M10" s="11">
        <f>SUM(M4:M9)</f>
        <v>1</v>
      </c>
      <c r="N10" s="11">
        <f>SUM(N4:N9)</f>
        <v>0.99999999999999989</v>
      </c>
      <c r="O10" s="11">
        <f>SUM(O4:O9)</f>
        <v>1</v>
      </c>
    </row>
    <row r="11" spans="1:17">
      <c r="A11" t="str">
        <f>IF(ISERR(FIND("=",Q11)),Q11,LEFT(Q11,FIND("=",Q11)))</f>
        <v>Network with selfloops removed:</v>
      </c>
      <c r="F11" s="5"/>
      <c r="H11" s="5"/>
      <c r="I11" s="7"/>
      <c r="J11" s="13"/>
      <c r="K11" s="9"/>
      <c r="L11" s="7"/>
      <c r="M11" s="7"/>
      <c r="N11" s="7"/>
      <c r="O11" s="7"/>
      <c r="Q11" s="3" t="s">
        <v>32</v>
      </c>
    </row>
    <row r="12" spans="1:17">
      <c r="A12" t="str">
        <f>IF(ISERR(FIND("=",Q12)),Q12,LEFT(Q12,FIND("=",Q12)))</f>
        <v>Non-selflinking links =</v>
      </c>
      <c r="B12">
        <f>VALUE(MID(Q12,FIND("=",Q12)+2,2))</f>
        <v>4</v>
      </c>
      <c r="F12" s="5"/>
      <c r="I12" s="7"/>
      <c r="J12" s="13"/>
      <c r="L12" s="7"/>
      <c r="M12" s="7"/>
      <c r="N12" s="7"/>
      <c r="O12" s="7"/>
      <c r="Q12" s="3" t="s">
        <v>33</v>
      </c>
    </row>
    <row r="13" spans="1:17">
      <c r="A13" t="str">
        <f>IF(ISERR(FIND("=",Q13)),Q13,LEFT(Q13,FIND("=",Q13)))</f>
        <v>Eco-connectance =</v>
      </c>
      <c r="B13">
        <f>VALUE(MID(Q13,FIND("=",Q13)+2,7))</f>
        <v>0.13333</v>
      </c>
      <c r="H13" s="5"/>
      <c r="I13" s="7"/>
      <c r="K13" s="5"/>
      <c r="L13" s="7"/>
      <c r="M13" s="7"/>
      <c r="N13" s="7"/>
      <c r="O13" s="7"/>
      <c r="Q13" s="3" t="s">
        <v>34</v>
      </c>
    </row>
    <row r="14" spans="1:17">
      <c r="A14" t="str">
        <f>IF(ISERR(FIND("=",Q14)),Q14,LEFT(Q14,FIND("=",Q14)))</f>
        <v>Directed graph is acyclic</v>
      </c>
      <c r="H14" s="5"/>
      <c r="I14" s="7"/>
      <c r="K14" s="13"/>
      <c r="L14" s="7"/>
      <c r="M14" s="7"/>
      <c r="N14" s="7"/>
      <c r="O14" s="7"/>
      <c r="Q14" s="3" t="s">
        <v>30</v>
      </c>
    </row>
    <row r="16" spans="1:17">
      <c r="A16" s="4" t="s">
        <v>35</v>
      </c>
      <c r="D16" t="s">
        <v>7</v>
      </c>
      <c r="E16" t="s">
        <v>8</v>
      </c>
      <c r="F16" t="s">
        <v>9</v>
      </c>
      <c r="G16" t="s">
        <v>10</v>
      </c>
      <c r="H16" t="s">
        <v>11</v>
      </c>
      <c r="I16" t="s">
        <v>12</v>
      </c>
      <c r="J16" t="s">
        <v>13</v>
      </c>
      <c r="K16" t="s">
        <v>14</v>
      </c>
      <c r="L16" t="s">
        <v>15</v>
      </c>
      <c r="M16" t="s">
        <v>16</v>
      </c>
      <c r="N16" t="s">
        <v>17</v>
      </c>
      <c r="O16" t="s">
        <v>18</v>
      </c>
    </row>
    <row r="17" spans="1:17">
      <c r="A17" t="str">
        <f>IF(ISERR(FIND("=",Q17)),Q17,LEFT(Q17,FIND("=",Q17)))</f>
        <v>Network with any selfloops:</v>
      </c>
      <c r="D17" t="s">
        <v>19</v>
      </c>
      <c r="E17">
        <v>23.1</v>
      </c>
      <c r="F17" s="5">
        <v>6.7640692640692605E-4</v>
      </c>
      <c r="G17">
        <v>0</v>
      </c>
      <c r="H17">
        <v>0</v>
      </c>
      <c r="I17" s="7">
        <v>0</v>
      </c>
      <c r="J17" s="5">
        <v>0.22222222222222199</v>
      </c>
      <c r="K17">
        <v>0</v>
      </c>
      <c r="L17" s="8">
        <f>E17/E$26</f>
        <v>0.29351969504447262</v>
      </c>
      <c r="M17" s="8">
        <f>F17/F$26</f>
        <v>5.6180518584555826E-2</v>
      </c>
      <c r="N17" s="8">
        <f>G17/G$26</f>
        <v>0</v>
      </c>
      <c r="O17" s="8">
        <f>H17/H$26</f>
        <v>0</v>
      </c>
      <c r="Q17" s="3" t="s">
        <v>20</v>
      </c>
    </row>
    <row r="18" spans="1:17">
      <c r="A18" t="str">
        <f>IF(ISERR(FIND("=",Q18)),Q18,LEFT(Q18,FIND("=",Q18)))</f>
        <v>Plants =</v>
      </c>
      <c r="B18">
        <f>VALUE(MID(Q18,FIND("=",Q18)+2,2))</f>
        <v>9</v>
      </c>
      <c r="D18" t="s">
        <v>21</v>
      </c>
      <c r="E18">
        <v>48.2</v>
      </c>
      <c r="F18" s="5">
        <v>2.9175311203319498E-3</v>
      </c>
      <c r="G18">
        <v>0</v>
      </c>
      <c r="H18">
        <v>0</v>
      </c>
      <c r="I18" s="7">
        <v>0</v>
      </c>
      <c r="J18" s="5">
        <v>0.44444444444444398</v>
      </c>
      <c r="K18">
        <v>0</v>
      </c>
      <c r="L18" s="8">
        <f>E18/E$26</f>
        <v>0.61245235069885628</v>
      </c>
      <c r="M18" s="8">
        <f>F18/F$26</f>
        <v>0.24232219530558424</v>
      </c>
      <c r="N18" s="8">
        <f>G18/G$26</f>
        <v>0</v>
      </c>
      <c r="O18" s="8">
        <f>H18/H$26</f>
        <v>0</v>
      </c>
      <c r="Q18" s="3" t="s">
        <v>36</v>
      </c>
    </row>
    <row r="19" spans="1:17">
      <c r="A19" t="str">
        <f>IF(ISERR(FIND("=",Q19)),Q19,LEFT(Q19,FIND("=",Q19)))</f>
        <v>Links =</v>
      </c>
      <c r="B19">
        <f>VALUE(MID(Q19,FIND("=",Q19)+2,2))</f>
        <v>6</v>
      </c>
      <c r="D19" t="s">
        <v>37</v>
      </c>
      <c r="E19">
        <v>7.4</v>
      </c>
      <c r="F19" s="5">
        <v>8.4459459459459499E-3</v>
      </c>
      <c r="G19">
        <v>0</v>
      </c>
      <c r="H19">
        <v>0</v>
      </c>
      <c r="I19" s="7">
        <v>0</v>
      </c>
      <c r="J19" s="9">
        <v>0.33333333333333298</v>
      </c>
      <c r="K19">
        <v>0</v>
      </c>
      <c r="L19" s="8">
        <f>E19/E$26</f>
        <v>9.402795425667089E-2</v>
      </c>
      <c r="M19" s="8">
        <f>F19/F$26</f>
        <v>0.70149728610985995</v>
      </c>
      <c r="N19" s="8">
        <f>G19/G$26</f>
        <v>0</v>
      </c>
      <c r="O19" s="8">
        <f>H19/H$26</f>
        <v>0</v>
      </c>
      <c r="Q19" s="3" t="s">
        <v>38</v>
      </c>
    </row>
    <row r="20" spans="1:17">
      <c r="A20" t="str">
        <f>IF(ISERR(FIND("=",Q20)),Q20,LEFT(Q20,FIND("=",Q20)))</f>
        <v>Maximum number of links =</v>
      </c>
      <c r="B20">
        <f>VALUE(MID(Q20,FIND("=",Q20)+2,3))</f>
        <v>72</v>
      </c>
      <c r="D20" t="s">
        <v>23</v>
      </c>
      <c r="E20">
        <v>0</v>
      </c>
      <c r="F20">
        <v>0</v>
      </c>
      <c r="G20">
        <v>11.6</v>
      </c>
      <c r="H20" s="5">
        <v>1.34698275862069E-3</v>
      </c>
      <c r="I20" s="7">
        <v>0</v>
      </c>
      <c r="J20">
        <v>0</v>
      </c>
      <c r="K20" s="5">
        <v>0.10696173351775</v>
      </c>
      <c r="L20" s="8">
        <f>E20/E$26</f>
        <v>0</v>
      </c>
      <c r="M20" s="8">
        <f>F20/F$26</f>
        <v>0</v>
      </c>
      <c r="N20" s="8">
        <f>G20/G$26</f>
        <v>0.14739517153748408</v>
      </c>
      <c r="O20" s="8">
        <f>H20/H$26</f>
        <v>0.10697816605821409</v>
      </c>
      <c r="Q20" s="3" t="s">
        <v>39</v>
      </c>
    </row>
    <row r="21" spans="1:17">
      <c r="A21" t="str">
        <f>IF(ISERR(FIND("=",Q21)),Q21,LEFT(Q21,FIND("=",Q21)))</f>
        <v>Graph density =</v>
      </c>
      <c r="B21">
        <f>VALUE(MID(Q21,FIND("=",Q21)+2,7))</f>
        <v>8.3330000000000001E-2</v>
      </c>
      <c r="D21" t="s">
        <v>25</v>
      </c>
      <c r="E21">
        <v>0</v>
      </c>
      <c r="F21">
        <v>0</v>
      </c>
      <c r="G21">
        <v>18.3</v>
      </c>
      <c r="H21" s="5">
        <v>8.5382513661202205E-4</v>
      </c>
      <c r="I21" s="7">
        <v>0</v>
      </c>
      <c r="J21">
        <v>0</v>
      </c>
      <c r="K21" s="9">
        <v>0.16874135546334701</v>
      </c>
      <c r="L21" s="8">
        <f>E21/E$26</f>
        <v>0</v>
      </c>
      <c r="M21" s="8">
        <f>F21/F$26</f>
        <v>0</v>
      </c>
      <c r="N21" s="8">
        <f>G21/G$26</f>
        <v>0.23252858958068612</v>
      </c>
      <c r="O21" s="8">
        <f>H21/H$26</f>
        <v>6.7811296517775052E-2</v>
      </c>
      <c r="Q21" s="3" t="s">
        <v>40</v>
      </c>
    </row>
    <row r="22" spans="1:17">
      <c r="A22" t="str">
        <f>IF(ISERR(FIND("=",Q22)),Q22,LEFT(Q22,FIND("=",Q22)))</f>
        <v>Directed graph is acyclic</v>
      </c>
      <c r="D22" t="s">
        <v>27</v>
      </c>
      <c r="E22">
        <v>0</v>
      </c>
      <c r="F22">
        <v>0</v>
      </c>
      <c r="G22">
        <v>18.3</v>
      </c>
      <c r="H22" s="5">
        <v>8.5382513661202205E-4</v>
      </c>
      <c r="I22" s="7">
        <v>0</v>
      </c>
      <c r="J22">
        <v>0</v>
      </c>
      <c r="K22" s="9">
        <v>0.16874135546334701</v>
      </c>
      <c r="L22" s="8">
        <f>E22/E$26</f>
        <v>0</v>
      </c>
      <c r="M22" s="8">
        <f>F22/F$26</f>
        <v>0</v>
      </c>
      <c r="N22" s="8">
        <f>G22/G$26</f>
        <v>0.23252858958068612</v>
      </c>
      <c r="O22" s="8">
        <f>H22/H$26</f>
        <v>6.7811296517775052E-2</v>
      </c>
      <c r="Q22" s="3" t="s">
        <v>30</v>
      </c>
    </row>
    <row r="23" spans="1:17">
      <c r="D23" t="s">
        <v>29</v>
      </c>
      <c r="E23">
        <v>0</v>
      </c>
      <c r="F23">
        <v>0</v>
      </c>
      <c r="G23">
        <v>23.1</v>
      </c>
      <c r="H23" s="5">
        <v>6.7640692640692605E-4</v>
      </c>
      <c r="I23" s="7">
        <v>0</v>
      </c>
      <c r="J23">
        <v>0</v>
      </c>
      <c r="K23" s="9">
        <v>0.22222222222222199</v>
      </c>
      <c r="L23" s="8">
        <f>E23/E$26</f>
        <v>0</v>
      </c>
      <c r="M23" s="8">
        <f>F23/F$26</f>
        <v>0</v>
      </c>
      <c r="N23" s="8">
        <f>G23/G$26</f>
        <v>0.29351969504447262</v>
      </c>
      <c r="O23" s="8">
        <f>H23/H$26</f>
        <v>5.372063750109448E-2</v>
      </c>
    </row>
    <row r="24" spans="1:17">
      <c r="A24" t="str">
        <f>IF(ISERR(FIND("=",Q24)),Q24,LEFT(Q24,FIND("=",Q24)))</f>
        <v>Network with selfloops removed:</v>
      </c>
      <c r="D24" t="s">
        <v>41</v>
      </c>
      <c r="E24">
        <v>0</v>
      </c>
      <c r="F24">
        <v>0</v>
      </c>
      <c r="G24">
        <v>2.9</v>
      </c>
      <c r="H24" s="5">
        <v>5.3879310344827598E-3</v>
      </c>
      <c r="I24" s="7">
        <v>0</v>
      </c>
      <c r="J24">
        <v>0</v>
      </c>
      <c r="K24" s="5">
        <v>0.13063063063063099</v>
      </c>
      <c r="L24" s="8">
        <f>E24/E$26</f>
        <v>0</v>
      </c>
      <c r="M24" s="8">
        <f>F24/F$26</f>
        <v>0</v>
      </c>
      <c r="N24" s="8">
        <f>G24/G$26</f>
        <v>3.6848792884371019E-2</v>
      </c>
      <c r="O24" s="8">
        <f>H24/H$26</f>
        <v>0.42791266423285634</v>
      </c>
      <c r="Q24" s="3" t="s">
        <v>32</v>
      </c>
    </row>
    <row r="25" spans="1:17">
      <c r="A25" t="str">
        <f>IF(ISERR(FIND("=",Q25)),Q25,LEFT(Q25,FIND("=",Q25)))</f>
        <v>Non-selflinking links =</v>
      </c>
      <c r="B25">
        <f>VALUE(MID(Q25,FIND("=",Q25)+2,2))</f>
        <v>6</v>
      </c>
      <c r="D25" t="s">
        <v>42</v>
      </c>
      <c r="E25">
        <v>0</v>
      </c>
      <c r="F25">
        <v>0</v>
      </c>
      <c r="G25">
        <v>4.5</v>
      </c>
      <c r="H25" s="5">
        <v>3.4722222222222199E-3</v>
      </c>
      <c r="I25" s="7">
        <v>0</v>
      </c>
      <c r="J25">
        <v>0</v>
      </c>
      <c r="K25" s="9">
        <v>0.20270270270270299</v>
      </c>
      <c r="L25" s="8">
        <f>E25/E$26</f>
        <v>0</v>
      </c>
      <c r="M25" s="8">
        <f>F25/F$26</f>
        <v>0</v>
      </c>
      <c r="N25" s="8">
        <f>G25/G$26</f>
        <v>5.7179161372299864E-2</v>
      </c>
      <c r="O25" s="8">
        <f>H25/H$26</f>
        <v>0.27576593917228498</v>
      </c>
      <c r="Q25" s="3" t="s">
        <v>43</v>
      </c>
    </row>
    <row r="26" spans="1:17">
      <c r="A26" t="str">
        <f>IF(ISERR(FIND("=",Q26)),Q26,LEFT(Q26,FIND("=",Q26)))</f>
        <v>Eco-connectance =</v>
      </c>
      <c r="B26">
        <f>VALUE(MID(Q26,FIND("=",Q26)+2,7))</f>
        <v>8.3330000000000001E-2</v>
      </c>
      <c r="D26" s="10" t="s">
        <v>31</v>
      </c>
      <c r="E26" s="11">
        <f>SUM(E17:E25)</f>
        <v>78.700000000000017</v>
      </c>
      <c r="F26" s="12">
        <f>SUM(F17:F25)</f>
        <v>1.2039883992684826E-2</v>
      </c>
      <c r="G26" s="11">
        <f>SUM(G17:G25)</f>
        <v>78.700000000000017</v>
      </c>
      <c r="H26" s="12">
        <f>SUM(H17:H25)</f>
        <v>1.259119321495664E-2</v>
      </c>
      <c r="I26" s="7"/>
      <c r="J26" s="11">
        <f>SUM(J17:J25)</f>
        <v>0.99999999999999889</v>
      </c>
      <c r="K26" s="11">
        <f>SUM(K17:K25)</f>
        <v>1</v>
      </c>
      <c r="L26" s="11">
        <f>SUM(L17:L25)</f>
        <v>0.99999999999999978</v>
      </c>
      <c r="M26" s="11">
        <f>SUM(M17:M25)</f>
        <v>1</v>
      </c>
      <c r="N26" s="11">
        <f>SUM(N17:N25)</f>
        <v>0.99999999999999978</v>
      </c>
      <c r="O26" s="11">
        <f>SUM(O17:O25)</f>
        <v>1</v>
      </c>
      <c r="Q26" s="3" t="s">
        <v>44</v>
      </c>
    </row>
    <row r="27" spans="1:17">
      <c r="A27" t="str">
        <f>IF(ISERR(FIND("=",Q27)),Q27,LEFT(Q27,FIND("=",Q27)))</f>
        <v>Directed graph is acyclic</v>
      </c>
      <c r="H27" s="5"/>
      <c r="I27" s="7"/>
      <c r="K27" s="13"/>
      <c r="L27" s="7"/>
      <c r="M27" s="7"/>
      <c r="N27" s="7"/>
      <c r="O27" s="7"/>
      <c r="Q27" s="3" t="s">
        <v>30</v>
      </c>
    </row>
    <row r="28" spans="1:17">
      <c r="H28" s="5"/>
      <c r="I28" s="7"/>
      <c r="K28" s="13"/>
      <c r="L28" s="7"/>
      <c r="M28" s="7"/>
      <c r="N28" s="7"/>
      <c r="O28" s="7"/>
      <c r="Q28" s="14"/>
    </row>
    <row r="29" spans="1:17">
      <c r="A29" s="2" t="s">
        <v>45</v>
      </c>
      <c r="H29" s="5"/>
      <c r="I29" s="7"/>
      <c r="K29" s="13"/>
      <c r="L29" s="7"/>
      <c r="M29" s="7"/>
      <c r="N29" s="7"/>
      <c r="O29" s="7"/>
      <c r="Q29" s="14"/>
    </row>
    <row r="34" spans="2:3">
      <c r="B34" s="15"/>
      <c r="C34" s="15"/>
    </row>
    <row r="40" spans="2:3">
      <c r="B40" s="15"/>
      <c r="C40" s="15"/>
    </row>
    <row r="48" spans="2:3">
      <c r="B48" s="15"/>
      <c r="C48" s="15"/>
    </row>
    <row r="54" spans="2:6">
      <c r="B54" s="15"/>
      <c r="C54" s="15"/>
      <c r="E54" s="15"/>
      <c r="F54" s="15"/>
    </row>
  </sheetData>
  <mergeCells count="3">
    <mergeCell ref="A1:B1"/>
    <mergeCell ref="D1:K1"/>
    <mergeCell ref="L1:O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25"/>
  <sheetViews>
    <sheetView zoomScaleNormal="100" workbookViewId="0">
      <selection activeCell="A25" sqref="A25"/>
    </sheetView>
  </sheetViews>
  <sheetFormatPr defaultColWidth="11.5703125" defaultRowHeight="12.75"/>
  <cols>
    <col min="7" max="7" width="7.28515625" customWidth="1"/>
  </cols>
  <sheetData>
    <row r="1" ht="13.9"/>
    <row r="2" ht="13.9"/>
    <row r="3" ht="13.9"/>
    <row r="4" ht="13.9"/>
    <row r="5" ht="13.9"/>
    <row r="6" ht="13.9"/>
    <row r="7" ht="13.9"/>
    <row r="8" ht="13.9"/>
    <row r="9" ht="13.9"/>
    <row r="10" ht="13.9"/>
    <row r="11" ht="13.9"/>
    <row r="12" ht="13.9"/>
    <row r="13" ht="13.9"/>
    <row r="14" ht="13.9"/>
    <row r="15" ht="13.9"/>
    <row r="16" ht="13.9"/>
    <row r="17" spans="2:9" ht="13.9"/>
    <row r="18" spans="2:9" ht="13.9"/>
    <row r="19" spans="2:9" ht="13.9"/>
    <row r="20" spans="2:9" ht="13.9"/>
    <row r="21" spans="2:9" ht="13.9"/>
    <row r="22" spans="2:9" ht="13.9"/>
    <row r="23" spans="2:9" ht="13.9"/>
    <row r="24" spans="2:9" ht="13.9"/>
    <row r="25" spans="2:9" ht="13.9">
      <c r="B25" s="2" t="s">
        <v>46</v>
      </c>
      <c r="I25" s="2" t="s">
        <v>47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48576"/>
  <sheetViews>
    <sheetView zoomScaleNormal="100" workbookViewId="0">
      <selection activeCell="A3" sqref="A3"/>
    </sheetView>
  </sheetViews>
  <sheetFormatPr defaultColWidth="8.7109375" defaultRowHeight="13.9"/>
  <cols>
    <col min="1" max="1" width="24.85546875" customWidth="1"/>
    <col min="3" max="3" width="5" customWidth="1"/>
    <col min="4" max="15" width="9.7109375" customWidth="1"/>
    <col min="17" max="17" width="29.5703125" style="3" customWidth="1"/>
  </cols>
  <sheetData>
    <row r="1" spans="1:17">
      <c r="A1" s="1" t="s">
        <v>2</v>
      </c>
      <c r="B1" s="1"/>
      <c r="D1" s="1" t="s">
        <v>3</v>
      </c>
      <c r="E1" s="1"/>
      <c r="F1" s="1"/>
      <c r="G1" s="1"/>
      <c r="H1" s="1"/>
      <c r="I1" s="1"/>
      <c r="J1" s="1"/>
      <c r="K1" s="1"/>
      <c r="L1" s="1" t="s">
        <v>4</v>
      </c>
      <c r="M1" s="1"/>
      <c r="N1" s="1"/>
      <c r="O1" s="1"/>
    </row>
    <row r="2" spans="1:17">
      <c r="A2" t="str">
        <f>IF(ISERR(FIND("=",Q2)),Q2,LEFT(Q2,FIND("=",Q2)))</f>
        <v>number of nodes =</v>
      </c>
      <c r="B2">
        <f>VALUE(MID(Q2,FIND("=",Q2)+2,2))</f>
        <v>14</v>
      </c>
      <c r="Q2" s="3" t="s">
        <v>5</v>
      </c>
    </row>
    <row r="3" spans="1:17">
      <c r="A3" s="4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</row>
    <row r="4" spans="1:17">
      <c r="A4" t="str">
        <f>IF(ISERR(FIND("=",Q4)),Q4,LEFT(Q4,FIND("=",Q4)))</f>
        <v>Network with any selfloops:</v>
      </c>
      <c r="D4" t="s">
        <v>23</v>
      </c>
      <c r="E4">
        <v>1.3</v>
      </c>
      <c r="F4" s="5">
        <v>7.6923076923076901E-3</v>
      </c>
      <c r="G4">
        <v>0</v>
      </c>
      <c r="H4" s="6">
        <v>0</v>
      </c>
      <c r="I4" s="7">
        <v>0</v>
      </c>
      <c r="J4" s="5">
        <v>9.7362630989387803E-4</v>
      </c>
      <c r="K4" s="6">
        <v>0</v>
      </c>
      <c r="L4" s="8">
        <f>E4/E$15</f>
        <v>2.4904214559386975E-2</v>
      </c>
      <c r="M4" s="8">
        <f>F4/F$15</f>
        <v>0.30197527920193945</v>
      </c>
      <c r="N4" s="8">
        <f>G4/G$15</f>
        <v>0</v>
      </c>
      <c r="O4" s="8">
        <f>H4/H$15</f>
        <v>0</v>
      </c>
      <c r="Q4" s="3" t="s">
        <v>20</v>
      </c>
    </row>
    <row r="5" spans="1:17">
      <c r="A5" t="str">
        <f>IF(ISERR(FIND("=",Q5)),Q5,LEFT(Q5,FIND("=",Q5)))</f>
        <v>Plants =</v>
      </c>
      <c r="B5">
        <f>VALUE(MID(Q5,FIND("=",Q5)+2,2))</f>
        <v>11</v>
      </c>
      <c r="D5" t="s">
        <v>25</v>
      </c>
      <c r="E5">
        <v>5.8</v>
      </c>
      <c r="F5" s="5">
        <v>1.7241379310344799E-3</v>
      </c>
      <c r="G5">
        <v>0</v>
      </c>
      <c r="H5" s="6">
        <v>0</v>
      </c>
      <c r="I5" s="7">
        <v>0</v>
      </c>
      <c r="J5" s="9">
        <v>4.3438712287572996E-3</v>
      </c>
      <c r="K5" s="6">
        <v>0</v>
      </c>
      <c r="L5" s="8">
        <f>E5/E$15</f>
        <v>0.11111111111111112</v>
      </c>
      <c r="M5" s="8">
        <f>F5/F$15</f>
        <v>6.7684114303882895E-2</v>
      </c>
      <c r="N5" s="8">
        <f>G5/G$15</f>
        <v>0</v>
      </c>
      <c r="O5" s="8">
        <f>H5/H$15</f>
        <v>0</v>
      </c>
      <c r="Q5" s="3" t="s">
        <v>48</v>
      </c>
    </row>
    <row r="6" spans="1:17">
      <c r="A6" t="str">
        <f>IF(ISERR(FIND("=",Q6)),Q6,LEFT(Q6,FIND("=",Q6)))</f>
        <v>Links =</v>
      </c>
      <c r="B6">
        <f>VALUE(MID(Q6,FIND("=",Q6)+2,2))</f>
        <v>20</v>
      </c>
      <c r="D6" t="s">
        <v>27</v>
      </c>
      <c r="E6">
        <v>5.8</v>
      </c>
      <c r="F6" s="5">
        <v>6.8965517241379301E-3</v>
      </c>
      <c r="G6">
        <v>0</v>
      </c>
      <c r="H6" s="6">
        <v>0</v>
      </c>
      <c r="I6" s="7">
        <v>0</v>
      </c>
      <c r="J6" s="5">
        <v>4.6516457786182297E-2</v>
      </c>
      <c r="K6" s="6">
        <v>0</v>
      </c>
      <c r="L6" s="8">
        <f>E6/E$15</f>
        <v>0.11111111111111112</v>
      </c>
      <c r="M6" s="8">
        <f>F6/F$15</f>
        <v>0.27073645721553197</v>
      </c>
      <c r="N6" s="8">
        <f>G6/G$15</f>
        <v>0</v>
      </c>
      <c r="O6" s="8">
        <f>H6/H$15</f>
        <v>0</v>
      </c>
      <c r="Q6" s="3" t="s">
        <v>49</v>
      </c>
    </row>
    <row r="7" spans="1:17">
      <c r="A7" t="str">
        <f>IF(ISERR(FIND("=",Q7)),Q7,LEFT(Q7,FIND("=",Q7)))</f>
        <v>Maximum number of links =</v>
      </c>
      <c r="B7">
        <f>VALUE(MID(Q7,FIND("=",Q7)+2,3))</f>
        <v>110</v>
      </c>
      <c r="D7" t="s">
        <v>21</v>
      </c>
      <c r="E7">
        <v>0</v>
      </c>
      <c r="F7">
        <v>0</v>
      </c>
      <c r="G7">
        <v>11.3</v>
      </c>
      <c r="H7" s="5">
        <v>7.9646017699115008E-3</v>
      </c>
      <c r="I7" s="7">
        <v>0</v>
      </c>
      <c r="J7">
        <v>0</v>
      </c>
      <c r="K7" s="5">
        <v>5.9136534713903604E-3</v>
      </c>
      <c r="L7" s="8">
        <f>E7/E$15</f>
        <v>0</v>
      </c>
      <c r="M7" s="8">
        <f>F7/F$15</f>
        <v>0</v>
      </c>
      <c r="N7" s="8">
        <f>G7/G$15</f>
        <v>0.21647509578544061</v>
      </c>
      <c r="O7" s="8">
        <f>H7/H$15</f>
        <v>0.3584983251542524</v>
      </c>
      <c r="Q7" s="3" t="s">
        <v>50</v>
      </c>
    </row>
    <row r="8" spans="1:17">
      <c r="A8" t="str">
        <f>IF(ISERR(FIND("=",Q8)),Q8,LEFT(Q8,FIND("=",Q8)))</f>
        <v>Graph density =</v>
      </c>
      <c r="B8">
        <f>VALUE(MID(Q8,FIND("=",Q8)+2,7))</f>
        <v>0.18182000000000001</v>
      </c>
      <c r="D8" t="s">
        <v>51</v>
      </c>
      <c r="E8">
        <v>39.299999999999997</v>
      </c>
      <c r="F8" s="5">
        <v>9.1603053435114507E-3</v>
      </c>
      <c r="G8">
        <v>0</v>
      </c>
      <c r="H8" s="6">
        <v>0</v>
      </c>
      <c r="I8" s="7">
        <v>0</v>
      </c>
      <c r="J8" s="9">
        <v>0.94816604467516696</v>
      </c>
      <c r="K8" s="6">
        <v>0</v>
      </c>
      <c r="L8" s="8">
        <f>E8/E$15</f>
        <v>0.75287356321839083</v>
      </c>
      <c r="M8" s="8">
        <f>F8/F$15</f>
        <v>0.35960414927864559</v>
      </c>
      <c r="N8" s="8">
        <f>G8/G$15</f>
        <v>0</v>
      </c>
      <c r="O8" s="8">
        <f>H8/H$15</f>
        <v>0</v>
      </c>
      <c r="Q8" s="3" t="s">
        <v>52</v>
      </c>
    </row>
    <row r="9" spans="1:17">
      <c r="A9" t="str">
        <f>IF(ISERR(FIND("=",Q9)),Q9,LEFT(Q9,FIND("=",Q9)))</f>
        <v>Directed graph is cyclic</v>
      </c>
      <c r="D9" t="s">
        <v>19</v>
      </c>
      <c r="E9">
        <v>0</v>
      </c>
      <c r="F9" s="6">
        <v>0</v>
      </c>
      <c r="G9">
        <v>2.5</v>
      </c>
      <c r="H9" s="5">
        <v>4.0000000000000001E-3</v>
      </c>
      <c r="I9" s="7">
        <v>0</v>
      </c>
      <c r="J9" s="6">
        <v>0</v>
      </c>
      <c r="K9" s="9">
        <v>6.3110928971247496E-2</v>
      </c>
      <c r="L9" s="8">
        <f>E9/E$15</f>
        <v>0</v>
      </c>
      <c r="M9" s="8">
        <f>F9/F$15</f>
        <v>0</v>
      </c>
      <c r="N9" s="8">
        <f>G9/G$15</f>
        <v>4.7892720306513405E-2</v>
      </c>
      <c r="O9" s="8">
        <f>H9/H$15</f>
        <v>0.18004582552191351</v>
      </c>
      <c r="Q9" s="3" t="s">
        <v>53</v>
      </c>
    </row>
    <row r="10" spans="1:17">
      <c r="D10" t="s">
        <v>54</v>
      </c>
      <c r="E10">
        <v>0</v>
      </c>
      <c r="F10" s="6">
        <v>0</v>
      </c>
      <c r="G10">
        <v>10</v>
      </c>
      <c r="H10" s="5">
        <v>4.0000000000000001E-3</v>
      </c>
      <c r="I10" s="7">
        <v>0</v>
      </c>
      <c r="J10" s="6">
        <v>0</v>
      </c>
      <c r="K10" s="9">
        <v>0.21403526444398999</v>
      </c>
      <c r="L10" s="8">
        <f>E10/E$15</f>
        <v>0</v>
      </c>
      <c r="M10" s="8">
        <f>F10/F$15</f>
        <v>0</v>
      </c>
      <c r="N10" s="8">
        <f>G10/G$15</f>
        <v>0.19157088122605362</v>
      </c>
      <c r="O10" s="8">
        <f>H10/H$15</f>
        <v>0.18004582552191351</v>
      </c>
    </row>
    <row r="11" spans="1:17">
      <c r="A11" t="str">
        <f>IF(ISERR(FIND("=",Q11)),Q11,LEFT(Q11,FIND("=",Q11)))</f>
        <v>Network with selfloops removed:</v>
      </c>
      <c r="D11" t="s">
        <v>37</v>
      </c>
      <c r="E11">
        <v>0</v>
      </c>
      <c r="F11" s="6">
        <v>0</v>
      </c>
      <c r="G11">
        <v>9.6999999999999993</v>
      </c>
      <c r="H11" s="5">
        <v>1.0309278350515501E-3</v>
      </c>
      <c r="I11" s="7">
        <v>0</v>
      </c>
      <c r="J11" s="6">
        <v>0</v>
      </c>
      <c r="K11" s="9">
        <v>0.24487040440843999</v>
      </c>
      <c r="L11" s="8">
        <f>E11/E$15</f>
        <v>0</v>
      </c>
      <c r="M11" s="8">
        <f>F11/F$15</f>
        <v>0</v>
      </c>
      <c r="N11" s="8">
        <f>G11/G$15</f>
        <v>0.18582375478927202</v>
      </c>
      <c r="O11" s="8">
        <f>H11/H$15</f>
        <v>4.6403563278843853E-2</v>
      </c>
      <c r="Q11" s="3" t="s">
        <v>32</v>
      </c>
    </row>
    <row r="12" spans="1:17">
      <c r="A12" t="str">
        <f>IF(ISERR(FIND("=",Q12)),Q12,LEFT(Q12,FIND("=",Q12)))</f>
        <v>Non-selflinking links =</v>
      </c>
      <c r="B12">
        <f>VALUE(MID(Q12,FIND("=",Q12)+2,2))</f>
        <v>10</v>
      </c>
      <c r="D12" t="s">
        <v>55</v>
      </c>
      <c r="E12">
        <v>0</v>
      </c>
      <c r="F12" s="6">
        <v>0</v>
      </c>
      <c r="G12">
        <v>8.1999999999999993</v>
      </c>
      <c r="H12">
        <v>1.2195121951219499E-3</v>
      </c>
      <c r="I12" s="7">
        <v>0</v>
      </c>
      <c r="J12" s="6">
        <v>0</v>
      </c>
      <c r="K12" s="9">
        <v>0.20700384702569199</v>
      </c>
      <c r="L12" s="8">
        <f>E12/E$15</f>
        <v>0</v>
      </c>
      <c r="M12" s="8">
        <f>F12/F$15</f>
        <v>0</v>
      </c>
      <c r="N12" s="8">
        <f>G12/G$15</f>
        <v>0.15708812260536395</v>
      </c>
      <c r="O12" s="8">
        <f>H12/H$15</f>
        <v>5.4892019976193085E-2</v>
      </c>
      <c r="Q12" s="3" t="s">
        <v>56</v>
      </c>
    </row>
    <row r="13" spans="1:17">
      <c r="A13" t="str">
        <f>IF(ISERR(FIND("=",Q13)),Q13,LEFT(Q13,FIND("=",Q13)))</f>
        <v>Eco-connectance =</v>
      </c>
      <c r="B13">
        <f>VALUE(MID(Q13,FIND("=",Q13)+2,7))</f>
        <v>9.0899999999999995E-2</v>
      </c>
      <c r="D13" t="s">
        <v>29</v>
      </c>
      <c r="E13">
        <v>0</v>
      </c>
      <c r="F13">
        <v>0</v>
      </c>
      <c r="G13">
        <v>6.4</v>
      </c>
      <c r="H13" s="5">
        <v>1.5625000000000001E-3</v>
      </c>
      <c r="I13" s="7">
        <v>0</v>
      </c>
      <c r="J13">
        <v>0</v>
      </c>
      <c r="K13" s="5">
        <v>0.16156397816639401</v>
      </c>
      <c r="L13" s="8">
        <f>E13/E$15</f>
        <v>0</v>
      </c>
      <c r="M13" s="8">
        <f>F13/F$15</f>
        <v>0</v>
      </c>
      <c r="N13" s="8">
        <f>G13/G$15</f>
        <v>0.12260536398467432</v>
      </c>
      <c r="O13" s="8">
        <f>H13/H$15</f>
        <v>7.0330400594497466E-2</v>
      </c>
      <c r="Q13" s="3" t="s">
        <v>57</v>
      </c>
    </row>
    <row r="14" spans="1:17">
      <c r="A14" t="str">
        <f>IF(ISERR(FIND("=",Q14)),Q14,LEFT(Q14,FIND("=",Q14)))</f>
        <v>Directed graph is acyclic</v>
      </c>
      <c r="D14" t="s">
        <v>58</v>
      </c>
      <c r="E14">
        <v>0</v>
      </c>
      <c r="F14">
        <v>0</v>
      </c>
      <c r="G14">
        <v>4.0999999999999996</v>
      </c>
      <c r="H14" s="5">
        <v>2.4390243902438998E-3</v>
      </c>
      <c r="I14" s="7">
        <v>0</v>
      </c>
      <c r="J14">
        <v>0</v>
      </c>
      <c r="K14" s="9">
        <v>0.103501923512846</v>
      </c>
      <c r="L14" s="8">
        <f>E14/E$15</f>
        <v>0</v>
      </c>
      <c r="M14" s="8">
        <f>F14/F$15</f>
        <v>0</v>
      </c>
      <c r="N14" s="8">
        <f>G14/G$15</f>
        <v>7.8544061302681975E-2</v>
      </c>
      <c r="O14" s="8">
        <f>H14/H$15</f>
        <v>0.10978403995238617</v>
      </c>
      <c r="Q14" s="3" t="s">
        <v>30</v>
      </c>
    </row>
    <row r="15" spans="1:17">
      <c r="D15" s="10" t="s">
        <v>31</v>
      </c>
      <c r="E15" s="11">
        <f>SUM(E4:E14)</f>
        <v>52.199999999999996</v>
      </c>
      <c r="F15" s="12">
        <f>SUM(F4:F14)</f>
        <v>2.5473302690991552E-2</v>
      </c>
      <c r="G15" s="11">
        <f>SUM(G4:G14)</f>
        <v>52.2</v>
      </c>
      <c r="H15" s="12">
        <f>SUM(H4:H14)</f>
        <v>2.2216566190328902E-2</v>
      </c>
      <c r="J15" s="11">
        <f>SUM(J4:J14)</f>
        <v>1.0000000000000004</v>
      </c>
      <c r="K15" s="11">
        <f>SUM(K4:K14)</f>
        <v>0.99999999999999989</v>
      </c>
      <c r="L15" s="11">
        <f>SUM(L4:L14)</f>
        <v>1</v>
      </c>
      <c r="M15" s="11">
        <f>SUM(M4:M14)</f>
        <v>0.99999999999999989</v>
      </c>
      <c r="N15" s="11">
        <f>SUM(N4:N14)</f>
        <v>1</v>
      </c>
      <c r="O15" s="11">
        <f>SUM(O4:O14)</f>
        <v>1</v>
      </c>
    </row>
    <row r="17" spans="1:17">
      <c r="A17" s="4" t="s">
        <v>35</v>
      </c>
      <c r="D17" t="s">
        <v>7</v>
      </c>
      <c r="E17" t="s">
        <v>8</v>
      </c>
      <c r="F17" t="s">
        <v>9</v>
      </c>
      <c r="G17" t="s">
        <v>10</v>
      </c>
      <c r="H17" t="s">
        <v>11</v>
      </c>
      <c r="I17" t="s">
        <v>12</v>
      </c>
      <c r="J17" t="s">
        <v>13</v>
      </c>
      <c r="K17" t="s">
        <v>14</v>
      </c>
      <c r="L17" t="s">
        <v>15</v>
      </c>
      <c r="M17" t="s">
        <v>16</v>
      </c>
      <c r="N17" t="s">
        <v>17</v>
      </c>
      <c r="O17" t="s">
        <v>18</v>
      </c>
    </row>
    <row r="18" spans="1:17">
      <c r="A18" t="str">
        <f>IF(ISERR(FIND("=",Q18)),Q18,LEFT(Q18,FIND("=",Q18)))</f>
        <v>Network with any selfloops:</v>
      </c>
      <c r="D18" t="s">
        <v>27</v>
      </c>
      <c r="E18">
        <v>6.6</v>
      </c>
      <c r="F18" s="5">
        <v>6.0606060606060597E-3</v>
      </c>
      <c r="G18">
        <v>0</v>
      </c>
      <c r="H18" s="5">
        <v>0</v>
      </c>
      <c r="I18" s="7">
        <v>0</v>
      </c>
      <c r="J18" s="5">
        <v>8.1208857898825995E-2</v>
      </c>
      <c r="K18" s="6">
        <v>0</v>
      </c>
      <c r="L18" s="8">
        <f>E18/E$29</f>
        <v>0.13469387755102041</v>
      </c>
      <c r="M18" s="8">
        <f>F18/F$29</f>
        <v>0.27762119503945826</v>
      </c>
      <c r="N18" s="8">
        <f>G18/G$29</f>
        <v>0</v>
      </c>
      <c r="O18" s="8">
        <f>H18/H$29</f>
        <v>0</v>
      </c>
      <c r="Q18" s="3" t="s">
        <v>20</v>
      </c>
    </row>
    <row r="19" spans="1:17">
      <c r="A19" t="str">
        <f>IF(ISERR(FIND("=",Q19)),Q19,LEFT(Q19,FIND("=",Q19)))</f>
        <v>Plants =</v>
      </c>
      <c r="B19">
        <f>VALUE(MID(Q19,FIND("=",Q19)+2,2))</f>
        <v>11</v>
      </c>
      <c r="D19" t="s">
        <v>23</v>
      </c>
      <c r="E19">
        <v>0</v>
      </c>
      <c r="F19" s="5">
        <v>0</v>
      </c>
      <c r="G19">
        <v>1.7</v>
      </c>
      <c r="H19" s="5">
        <v>5.8823529411764696E-3</v>
      </c>
      <c r="I19" s="7">
        <v>0</v>
      </c>
      <c r="J19" s="6">
        <v>0</v>
      </c>
      <c r="K19" s="5">
        <v>3.7930204734292002E-3</v>
      </c>
      <c r="L19" s="8">
        <f>E19/E$29</f>
        <v>0</v>
      </c>
      <c r="M19" s="8">
        <f>F19/F$29</f>
        <v>0</v>
      </c>
      <c r="N19" s="8">
        <f>G19/G$29</f>
        <v>3.4693877551020408E-2</v>
      </c>
      <c r="O19" s="8">
        <f>H19/H$29</f>
        <v>0.17315798728891352</v>
      </c>
      <c r="Q19" s="3" t="s">
        <v>48</v>
      </c>
    </row>
    <row r="20" spans="1:17">
      <c r="A20" t="str">
        <f>IF(ISERR(FIND("=",Q20)),Q20,LEFT(Q20,FIND("=",Q20)))</f>
        <v>Links =</v>
      </c>
      <c r="B20">
        <f>VALUE(MID(Q20,FIND("=",Q20)+2,2))</f>
        <v>18</v>
      </c>
      <c r="D20" t="s">
        <v>51</v>
      </c>
      <c r="E20">
        <v>39.4</v>
      </c>
      <c r="F20" s="5">
        <v>1.24365482233503E-2</v>
      </c>
      <c r="G20">
        <v>0</v>
      </c>
      <c r="H20" s="6">
        <v>0</v>
      </c>
      <c r="I20" s="7">
        <v>0</v>
      </c>
      <c r="J20" s="9">
        <v>0.90979410723204002</v>
      </c>
      <c r="K20" s="6">
        <v>0</v>
      </c>
      <c r="L20" s="8">
        <f>E20/E$29</f>
        <v>0.80408163265306121</v>
      </c>
      <c r="M20" s="8">
        <f>F20/F$29</f>
        <v>0.56968714768883977</v>
      </c>
      <c r="N20" s="8">
        <f>G20/G$29</f>
        <v>0</v>
      </c>
      <c r="O20" s="8">
        <f>H20/H$29</f>
        <v>0</v>
      </c>
      <c r="Q20" s="3" t="s">
        <v>59</v>
      </c>
    </row>
    <row r="21" spans="1:17">
      <c r="A21" t="str">
        <f>IF(ISERR(FIND("=",Q21)),Q21,LEFT(Q21,FIND("=",Q21)))</f>
        <v>Maximum number of links =</v>
      </c>
      <c r="B21">
        <f>VALUE(MID(Q21,FIND("=",Q21)+2,3))</f>
        <v>110</v>
      </c>
      <c r="D21" t="s">
        <v>19</v>
      </c>
      <c r="E21">
        <v>0</v>
      </c>
      <c r="F21">
        <v>0</v>
      </c>
      <c r="G21">
        <v>3.9</v>
      </c>
      <c r="H21" s="5">
        <v>2.5641025641025602E-3</v>
      </c>
      <c r="I21" s="7">
        <v>0</v>
      </c>
      <c r="J21">
        <v>0</v>
      </c>
      <c r="K21" s="5">
        <v>9.74537558568951E-2</v>
      </c>
      <c r="L21" s="8">
        <f>E21/E$29</f>
        <v>0</v>
      </c>
      <c r="M21" s="8">
        <f>F21/F$29</f>
        <v>0</v>
      </c>
      <c r="N21" s="8">
        <f>G21/G$29</f>
        <v>7.9591836734693874E-2</v>
      </c>
      <c r="O21" s="8">
        <f>H21/H$29</f>
        <v>7.5479122664398102E-2</v>
      </c>
      <c r="Q21" s="3" t="s">
        <v>50</v>
      </c>
    </row>
    <row r="22" spans="1:17">
      <c r="A22" t="str">
        <f>IF(ISERR(FIND("=",Q22)),Q22,LEFT(Q22,FIND("=",Q22)))</f>
        <v>Graph density =</v>
      </c>
      <c r="B22">
        <f>VALUE(MID(Q22,FIND("=",Q22)+2,7))</f>
        <v>0.16364000000000001</v>
      </c>
      <c r="D22" t="s">
        <v>21</v>
      </c>
      <c r="E22">
        <v>0</v>
      </c>
      <c r="F22">
        <v>0</v>
      </c>
      <c r="G22">
        <v>10.199999999999999</v>
      </c>
      <c r="H22" s="5">
        <v>9.8039215686274508E-4</v>
      </c>
      <c r="I22" s="7">
        <v>0</v>
      </c>
      <c r="J22">
        <v>0</v>
      </c>
      <c r="K22" s="9">
        <v>0.25487905377957198</v>
      </c>
      <c r="L22" s="8">
        <f>E22/E$29</f>
        <v>0</v>
      </c>
      <c r="M22" s="8">
        <f>F22/F$29</f>
        <v>0</v>
      </c>
      <c r="N22" s="8">
        <f>G22/G$29</f>
        <v>0.20816326530612245</v>
      </c>
      <c r="O22" s="8">
        <f>H22/H$29</f>
        <v>2.885966454815226E-2</v>
      </c>
      <c r="Q22" s="3" t="s">
        <v>60</v>
      </c>
    </row>
    <row r="23" spans="1:17">
      <c r="A23" t="str">
        <f>IF(ISERR(FIND("=",Q23)),Q23,LEFT(Q23,FIND("=",Q23)))</f>
        <v>Directed graph is cyclic</v>
      </c>
      <c r="D23" t="s">
        <v>54</v>
      </c>
      <c r="E23">
        <v>0</v>
      </c>
      <c r="F23" s="6">
        <v>0</v>
      </c>
      <c r="G23">
        <v>10.1</v>
      </c>
      <c r="H23" s="5">
        <v>3.9603960396039596E-3</v>
      </c>
      <c r="I23" s="7">
        <v>0</v>
      </c>
      <c r="J23" s="9">
        <v>0</v>
      </c>
      <c r="K23" s="9">
        <v>0.14087116486005799</v>
      </c>
      <c r="L23" s="8">
        <f>E23/E$29</f>
        <v>0</v>
      </c>
      <c r="M23" s="8">
        <f>F23/F$29</f>
        <v>0</v>
      </c>
      <c r="N23" s="8">
        <f>G23/G$29</f>
        <v>0.20612244897959184</v>
      </c>
      <c r="O23" s="8">
        <f>H23/H$29</f>
        <v>0.11658161520441702</v>
      </c>
      <c r="Q23" s="3" t="s">
        <v>53</v>
      </c>
    </row>
    <row r="24" spans="1:17">
      <c r="D24" t="s">
        <v>37</v>
      </c>
      <c r="E24">
        <v>0</v>
      </c>
      <c r="F24">
        <v>0</v>
      </c>
      <c r="G24">
        <v>9.6999999999999993</v>
      </c>
      <c r="H24" s="5">
        <v>1.0309278350515501E-3</v>
      </c>
      <c r="I24" s="7">
        <v>0</v>
      </c>
      <c r="J24">
        <v>0</v>
      </c>
      <c r="K24" s="5">
        <v>0.24238498251586699</v>
      </c>
      <c r="L24" s="8">
        <f>E24/E$29</f>
        <v>0</v>
      </c>
      <c r="M24" s="8">
        <f>F24/F$29</f>
        <v>0</v>
      </c>
      <c r="N24" s="8">
        <f>G24/G$29</f>
        <v>0.19795918367346937</v>
      </c>
      <c r="O24" s="8">
        <f>H24/H$29</f>
        <v>3.0347276122799392E-2</v>
      </c>
    </row>
    <row r="25" spans="1:17">
      <c r="A25" t="str">
        <f>IF(ISERR(FIND("=",Q25)),Q25,LEFT(Q25,FIND("=",Q25)))</f>
        <v>Network with selfloops removed:</v>
      </c>
      <c r="D25" t="s">
        <v>55</v>
      </c>
      <c r="E25">
        <v>0</v>
      </c>
      <c r="F25">
        <v>0</v>
      </c>
      <c r="G25">
        <v>8.1999999999999993</v>
      </c>
      <c r="H25" s="5">
        <v>1.2195121951219499E-3</v>
      </c>
      <c r="I25" s="7">
        <v>0</v>
      </c>
      <c r="J25">
        <v>0</v>
      </c>
      <c r="K25" s="9">
        <v>0.20490276872475399</v>
      </c>
      <c r="L25" s="8">
        <f>E25/E$29</f>
        <v>0</v>
      </c>
      <c r="M25" s="8">
        <f>F25/F$29</f>
        <v>0</v>
      </c>
      <c r="N25" s="8">
        <f>G25/G$29</f>
        <v>0.16734693877551018</v>
      </c>
      <c r="O25" s="8">
        <f>H25/H$29</f>
        <v>3.5898607120872283E-2</v>
      </c>
      <c r="Q25" s="3" t="s">
        <v>32</v>
      </c>
    </row>
    <row r="26" spans="1:17">
      <c r="A26" t="str">
        <f>IF(ISERR(FIND("=",Q26)),Q26,LEFT(Q26,FIND("=",Q26)))</f>
        <v>Non-selflinking links =</v>
      </c>
      <c r="B26">
        <f>VALUE(MID(Q26,FIND("=",Q26)+2,2))</f>
        <v>10</v>
      </c>
      <c r="D26" t="s">
        <v>29</v>
      </c>
      <c r="E26">
        <v>3</v>
      </c>
      <c r="F26" s="5">
        <v>3.3333333333333301E-3</v>
      </c>
      <c r="G26">
        <v>0</v>
      </c>
      <c r="H26" s="6">
        <v>0</v>
      </c>
      <c r="I26" s="7">
        <v>0</v>
      </c>
      <c r="J26" s="5">
        <v>8.9970348691339307E-3</v>
      </c>
      <c r="K26" s="6">
        <v>0</v>
      </c>
      <c r="L26" s="8">
        <f>E26/E$29</f>
        <v>6.1224489795918366E-2</v>
      </c>
      <c r="M26" s="8">
        <f>F26/F$29</f>
        <v>0.15269165727170192</v>
      </c>
      <c r="N26" s="8">
        <f>G26/G$29</f>
        <v>0</v>
      </c>
      <c r="O26" s="8">
        <f>H26/H$29</f>
        <v>0</v>
      </c>
      <c r="Q26" s="3" t="s">
        <v>56</v>
      </c>
    </row>
    <row r="27" spans="1:17">
      <c r="A27" t="str">
        <f>IF(ISERR(FIND("=",Q27)),Q27,LEFT(Q27,FIND("=",Q27)))</f>
        <v>Eco-connectance =</v>
      </c>
      <c r="B27">
        <f>VALUE(MID(Q27,FIND("=",Q27)+2,7))</f>
        <v>9.0899999999999995E-2</v>
      </c>
      <c r="D27" t="s">
        <v>58</v>
      </c>
      <c r="E27">
        <v>0</v>
      </c>
      <c r="F27">
        <v>0</v>
      </c>
      <c r="G27">
        <v>4</v>
      </c>
      <c r="H27" s="5">
        <v>0.01</v>
      </c>
      <c r="I27" s="7">
        <v>0</v>
      </c>
      <c r="J27">
        <v>0</v>
      </c>
      <c r="K27" s="9">
        <v>2.5729482756534298E-2</v>
      </c>
      <c r="L27" s="8">
        <f>E27/E$29</f>
        <v>0</v>
      </c>
      <c r="M27" s="8">
        <f>F27/F$29</f>
        <v>0</v>
      </c>
      <c r="N27" s="8">
        <f>G27/G$29</f>
        <v>8.1632653061224483E-2</v>
      </c>
      <c r="O27" s="8">
        <f>H27/H$29</f>
        <v>0.29436857839115305</v>
      </c>
      <c r="Q27" s="3" t="s">
        <v>57</v>
      </c>
    </row>
    <row r="28" spans="1:17">
      <c r="A28" t="str">
        <f>IF(ISERR(FIND("=",Q28)),Q28,LEFT(Q28,FIND("=",Q28)))</f>
        <v>Directed graph is acyclic</v>
      </c>
      <c r="D28" t="s">
        <v>41</v>
      </c>
      <c r="E28">
        <v>0</v>
      </c>
      <c r="F28">
        <v>0</v>
      </c>
      <c r="G28">
        <v>1.2</v>
      </c>
      <c r="H28" s="5">
        <v>8.3333333333333402E-3</v>
      </c>
      <c r="I28" s="7">
        <v>0</v>
      </c>
      <c r="J28">
        <v>0</v>
      </c>
      <c r="K28" s="9">
        <v>2.9985771032890799E-2</v>
      </c>
      <c r="L28" s="8">
        <f>E28/E$29</f>
        <v>0</v>
      </c>
      <c r="M28" s="8">
        <f>F28/F$29</f>
        <v>0</v>
      </c>
      <c r="N28" s="8">
        <f>G28/G$29</f>
        <v>2.4489795918367346E-2</v>
      </c>
      <c r="O28" s="8">
        <f>H28/H$29</f>
        <v>0.2453071486592944</v>
      </c>
      <c r="Q28" s="3" t="s">
        <v>30</v>
      </c>
    </row>
    <row r="29" spans="1:17">
      <c r="D29" s="10" t="s">
        <v>31</v>
      </c>
      <c r="E29" s="11">
        <f>SUM(E18:E28)</f>
        <v>49</v>
      </c>
      <c r="F29" s="12">
        <f>SUM(F18:F28)</f>
        <v>2.1830487617289691E-2</v>
      </c>
      <c r="G29" s="11">
        <f>SUM(G18:G28)</f>
        <v>49</v>
      </c>
      <c r="H29" s="12">
        <f>SUM(H18:H28)</f>
        <v>3.3971017065252573E-2</v>
      </c>
      <c r="I29" s="7"/>
      <c r="J29" s="11">
        <f>SUM(J18:J28)</f>
        <v>1</v>
      </c>
      <c r="K29" s="11">
        <f>SUM(K18:K28)</f>
        <v>1.0000000000000004</v>
      </c>
      <c r="L29" s="11">
        <f>SUM(L18:L28)</f>
        <v>0.99999999999999989</v>
      </c>
      <c r="M29" s="11">
        <f>SUM(M18:M28)</f>
        <v>1</v>
      </c>
      <c r="N29" s="11">
        <f>SUM(N18:N28)</f>
        <v>1</v>
      </c>
      <c r="O29" s="11">
        <f>SUM(O18:O28)</f>
        <v>1</v>
      </c>
      <c r="Q29" s="14"/>
    </row>
    <row r="31" spans="1:17" ht="15">
      <c r="A31" s="2" t="s">
        <v>45</v>
      </c>
    </row>
    <row r="1048554" ht="12.75"/>
    <row r="1048555" ht="12.75"/>
    <row r="1048556" ht="12.75"/>
    <row r="1048557" ht="12.75"/>
    <row r="1048558" ht="12.75"/>
    <row r="1048559" ht="12.75"/>
    <row r="1048560" ht="12.75"/>
    <row r="1048561" ht="12.75"/>
    <row r="1048562" ht="12.75"/>
    <row r="1048563" ht="12.75"/>
    <row r="1048564" ht="12.75"/>
    <row r="1048565" ht="12.75"/>
    <row r="1048566" ht="12.75"/>
    <row r="1048567" ht="12.75"/>
    <row r="1048568" ht="12.75"/>
    <row r="1048569" ht="12.75"/>
    <row r="1048570" ht="12.75"/>
    <row r="1048571" ht="12.75"/>
    <row r="1048572" ht="12.75"/>
    <row r="1048573" ht="12.75"/>
    <row r="1048574" ht="12.75"/>
    <row r="1048575" ht="12.75"/>
    <row r="1048576" ht="12.75"/>
  </sheetData>
  <mergeCells count="3">
    <mergeCell ref="A1:B1"/>
    <mergeCell ref="D1:K1"/>
    <mergeCell ref="L1:O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25"/>
  <sheetViews>
    <sheetView zoomScaleNormal="100" workbookViewId="0">
      <selection activeCell="A25" sqref="A25"/>
    </sheetView>
  </sheetViews>
  <sheetFormatPr defaultColWidth="11.5703125" defaultRowHeight="12.75"/>
  <cols>
    <col min="7" max="7" width="7.5703125" customWidth="1"/>
  </cols>
  <sheetData>
    <row r="1" ht="13.9"/>
    <row r="2" ht="13.9"/>
    <row r="3" ht="13.9"/>
    <row r="4" ht="13.9"/>
    <row r="5" ht="13.9"/>
    <row r="6" ht="13.9"/>
    <row r="7" ht="13.9"/>
    <row r="8" ht="13.9"/>
    <row r="9" ht="13.9"/>
    <row r="10" ht="13.9"/>
    <row r="11" ht="13.9"/>
    <row r="12" ht="13.9"/>
    <row r="13" ht="13.9"/>
    <row r="14" ht="13.9"/>
    <row r="15" ht="13.9"/>
    <row r="16" ht="13.9"/>
    <row r="17" spans="2:9" ht="13.9"/>
    <row r="18" spans="2:9" ht="13.9"/>
    <row r="19" spans="2:9" ht="13.9"/>
    <row r="20" spans="2:9" ht="13.9"/>
    <row r="21" spans="2:9" ht="13.9"/>
    <row r="22" spans="2:9" ht="13.9"/>
    <row r="23" spans="2:9" ht="13.9"/>
    <row r="24" spans="2:9" ht="13.9"/>
    <row r="25" spans="2:9" ht="13.9">
      <c r="B25" s="2" t="s">
        <v>61</v>
      </c>
      <c r="I25" s="2" t="s">
        <v>62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3"/>
  <sheetViews>
    <sheetView zoomScaleNormal="100" workbookViewId="0">
      <selection activeCell="A3" sqref="A3"/>
    </sheetView>
  </sheetViews>
  <sheetFormatPr defaultColWidth="8.7109375" defaultRowHeight="13.9"/>
  <cols>
    <col min="1" max="1" width="24.85546875" customWidth="1"/>
    <col min="3" max="3" width="6.28515625" customWidth="1"/>
    <col min="4" max="16" width="9.7109375" customWidth="1"/>
    <col min="17" max="17" width="29.5703125" style="3" customWidth="1"/>
  </cols>
  <sheetData>
    <row r="1" spans="1:17">
      <c r="A1" s="1" t="s">
        <v>2</v>
      </c>
      <c r="B1" s="1"/>
      <c r="D1" s="1" t="s">
        <v>3</v>
      </c>
      <c r="E1" s="1"/>
      <c r="F1" s="1"/>
      <c r="G1" s="1"/>
      <c r="H1" s="1"/>
      <c r="I1" s="1"/>
      <c r="J1" s="1"/>
      <c r="K1" s="1"/>
      <c r="L1" s="1" t="s">
        <v>63</v>
      </c>
      <c r="M1" s="1"/>
      <c r="N1" s="1"/>
      <c r="O1" s="1"/>
      <c r="P1" s="1"/>
    </row>
    <row r="2" spans="1:17">
      <c r="A2" t="str">
        <f>IF(ISERR(FIND("=",Q2)),Q2,LEFT(Q2,FIND("=",Q2)))</f>
        <v>number of nodes =</v>
      </c>
      <c r="B2">
        <f>VALUE(MID(Q2,FIND("=",Q2)+2,2))</f>
        <v>14</v>
      </c>
      <c r="Q2" s="3" t="s">
        <v>5</v>
      </c>
    </row>
    <row r="3" spans="1:17">
      <c r="A3" s="4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64</v>
      </c>
    </row>
    <row r="4" spans="1:17">
      <c r="A4" t="str">
        <f>IF(ISERR(FIND("=",Q4)),Q4,LEFT(Q4,FIND("=",Q4)))</f>
        <v>Network with any selfloops:</v>
      </c>
      <c r="D4" t="s">
        <v>19</v>
      </c>
      <c r="E4">
        <v>23.1</v>
      </c>
      <c r="F4" s="5">
        <v>4.3290043290043301E-4</v>
      </c>
      <c r="G4">
        <v>2.5</v>
      </c>
      <c r="H4" s="15">
        <v>4.0000000000000001E-3</v>
      </c>
      <c r="I4" s="7">
        <v>0</v>
      </c>
      <c r="J4" s="5">
        <v>1.7309869869062901E-4</v>
      </c>
      <c r="K4" s="13">
        <v>5.7290979074041796E-6</v>
      </c>
      <c r="L4" s="8">
        <f>E4/E$15</f>
        <v>0.18704453441295549</v>
      </c>
      <c r="M4" s="8">
        <f>F4/F$15</f>
        <v>2.1266704588989022E-2</v>
      </c>
      <c r="N4" s="8">
        <f>G4/G$15</f>
        <v>2.0242914979757085E-2</v>
      </c>
      <c r="O4" s="8">
        <f>H4/H$15</f>
        <v>0.15257965802122395</v>
      </c>
      <c r="P4">
        <f>I4/I$15</f>
        <v>0</v>
      </c>
      <c r="Q4" s="3" t="s">
        <v>20</v>
      </c>
    </row>
    <row r="5" spans="1:17">
      <c r="A5" t="str">
        <f>IF(ISERR(FIND("=",Q5)),Q5,LEFT(Q5,FIND("=",Q5)))</f>
        <v>Plants =</v>
      </c>
      <c r="B5">
        <f>VALUE(MID(Q5,FIND("=",Q5)+2,2))</f>
        <v>11</v>
      </c>
      <c r="D5" t="s">
        <v>21</v>
      </c>
      <c r="E5">
        <v>48.2</v>
      </c>
      <c r="F5" s="5">
        <v>2.3494860499265798E-3</v>
      </c>
      <c r="G5">
        <v>11.3</v>
      </c>
      <c r="H5" s="5">
        <v>7.9646017699115008E-3</v>
      </c>
      <c r="I5" s="7">
        <v>8</v>
      </c>
      <c r="J5" s="9">
        <v>0.99974187819856997</v>
      </c>
      <c r="K5" s="13">
        <v>2.3557123150709401E-7</v>
      </c>
      <c r="L5" s="8">
        <f>E5/E$15</f>
        <v>0.39028340080971663</v>
      </c>
      <c r="M5" s="8">
        <f>F5/F$15</f>
        <v>0.11542105750499772</v>
      </c>
      <c r="N5" s="8">
        <f>G5/G$15</f>
        <v>9.149797570850203E-2</v>
      </c>
      <c r="O5" s="8">
        <f>H5/H$15</f>
        <v>0.30380905358208293</v>
      </c>
      <c r="P5" s="16">
        <f>I5/I$15</f>
        <v>0.72727272727272729</v>
      </c>
      <c r="Q5" s="3" t="s">
        <v>48</v>
      </c>
    </row>
    <row r="6" spans="1:17">
      <c r="A6" t="str">
        <f>IF(ISERR(FIND("=",Q6)),Q6,LEFT(Q6,FIND("=",Q6)))</f>
        <v>Links =</v>
      </c>
      <c r="B6">
        <f>VALUE(MID(Q6,FIND("=",Q6)+2,2))</f>
        <v>24</v>
      </c>
      <c r="D6" t="s">
        <v>54</v>
      </c>
      <c r="E6">
        <v>0</v>
      </c>
      <c r="F6">
        <v>0</v>
      </c>
      <c r="G6">
        <v>10</v>
      </c>
      <c r="H6" s="5">
        <v>3.25520833333333E-3</v>
      </c>
      <c r="I6" s="7">
        <v>0</v>
      </c>
      <c r="J6">
        <v>0</v>
      </c>
      <c r="K6" s="13">
        <v>1.93342655146429E-5</v>
      </c>
      <c r="L6" s="8">
        <f>E6/E$15</f>
        <v>0</v>
      </c>
      <c r="M6" s="8">
        <f>F6/F$15</f>
        <v>0</v>
      </c>
      <c r="N6" s="8">
        <f>G6/G$15</f>
        <v>8.0971659919028341E-2</v>
      </c>
      <c r="O6" s="8">
        <f>H6/H$15</f>
        <v>0.12416964357195946</v>
      </c>
      <c r="P6">
        <f>I6/I$15</f>
        <v>0</v>
      </c>
      <c r="Q6" s="3" t="s">
        <v>65</v>
      </c>
    </row>
    <row r="7" spans="1:17">
      <c r="A7" t="str">
        <f>IF(ISERR(FIND("=",Q7)),Q7,LEFT(Q7,FIND("=",Q7)))</f>
        <v>Maximum number of links =</v>
      </c>
      <c r="B7">
        <f>VALUE(MID(Q7,FIND("=",Q7)+2,3))</f>
        <v>110</v>
      </c>
      <c r="D7" t="s">
        <v>37</v>
      </c>
      <c r="E7">
        <v>0</v>
      </c>
      <c r="F7">
        <v>0</v>
      </c>
      <c r="G7">
        <v>9.6999999999999993</v>
      </c>
      <c r="H7" s="5">
        <v>1.0309278350515501E-3</v>
      </c>
      <c r="I7" s="7">
        <v>0</v>
      </c>
      <c r="J7">
        <v>0</v>
      </c>
      <c r="K7" s="13">
        <v>2.22288998807282E-5</v>
      </c>
      <c r="L7" s="8">
        <f>E7/E$15</f>
        <v>0</v>
      </c>
      <c r="M7" s="8">
        <f>F7/F$15</f>
        <v>0</v>
      </c>
      <c r="N7" s="8">
        <f>G7/G$15</f>
        <v>7.8542510121457479E-2</v>
      </c>
      <c r="O7" s="8">
        <f>H7/H$15</f>
        <v>3.9324654129181576E-2</v>
      </c>
      <c r="P7">
        <f>I7/I$15</f>
        <v>0</v>
      </c>
      <c r="Q7" s="3" t="s">
        <v>50</v>
      </c>
    </row>
    <row r="8" spans="1:17">
      <c r="A8" t="str">
        <f>IF(ISERR(FIND("=",Q8)),Q8,LEFT(Q8,FIND("=",Q8)))</f>
        <v>Graph density =</v>
      </c>
      <c r="B8">
        <f>VALUE(MID(Q8,FIND("=",Q8)+2,7))</f>
        <v>0.21818000000000001</v>
      </c>
      <c r="D8" t="s">
        <v>55</v>
      </c>
      <c r="E8">
        <v>0</v>
      </c>
      <c r="F8">
        <v>0</v>
      </c>
      <c r="G8">
        <v>8.1999999999999993</v>
      </c>
      <c r="H8" s="5">
        <v>1.2195121951219499E-3</v>
      </c>
      <c r="I8" s="7">
        <v>0</v>
      </c>
      <c r="J8">
        <v>0</v>
      </c>
      <c r="K8" s="13">
        <v>1.87914411362857E-5</v>
      </c>
      <c r="L8" s="8">
        <f>E8/E$15</f>
        <v>0</v>
      </c>
      <c r="M8" s="8">
        <f>F8/F$15</f>
        <v>0</v>
      </c>
      <c r="N8" s="8">
        <f>G8/G$15</f>
        <v>6.6396761133603238E-2</v>
      </c>
      <c r="O8" s="8">
        <f>H8/H$15</f>
        <v>4.6518188421104813E-2</v>
      </c>
      <c r="P8">
        <f>I8/I$15</f>
        <v>0</v>
      </c>
      <c r="Q8" s="3" t="s">
        <v>66</v>
      </c>
    </row>
    <row r="9" spans="1:17">
      <c r="A9" t="str">
        <f>IF(ISERR(FIND("=",Q9)),Q9,LEFT(Q9,FIND("=",Q9)))</f>
        <v>Directed graph is cyclic</v>
      </c>
      <c r="D9" t="s">
        <v>23</v>
      </c>
      <c r="E9">
        <v>1.3</v>
      </c>
      <c r="F9" s="5">
        <v>2.5931928687196099E-3</v>
      </c>
      <c r="G9">
        <v>11.6</v>
      </c>
      <c r="H9" s="5">
        <v>2.0089285714285699E-3</v>
      </c>
      <c r="I9" s="7">
        <v>0</v>
      </c>
      <c r="J9" s="13">
        <v>1.8350506782141599E-8</v>
      </c>
      <c r="K9" s="9">
        <v>0.240615582442047</v>
      </c>
      <c r="L9" s="8">
        <f>E9/E$15</f>
        <v>1.0526315789473684E-2</v>
      </c>
      <c r="M9" s="8">
        <f>F9/F$15</f>
        <v>0.12739342003387905</v>
      </c>
      <c r="N9" s="8">
        <f>G9/G$15</f>
        <v>9.3927125506072878E-2</v>
      </c>
      <c r="O9" s="8">
        <f>H9/H$15</f>
        <v>7.6630408604409297E-2</v>
      </c>
      <c r="P9">
        <f>I9/I$15</f>
        <v>0</v>
      </c>
      <c r="Q9" s="3" t="s">
        <v>53</v>
      </c>
    </row>
    <row r="10" spans="1:17">
      <c r="D10" t="s">
        <v>25</v>
      </c>
      <c r="E10">
        <v>5.8</v>
      </c>
      <c r="F10" s="5">
        <v>2.1917808219178098E-3</v>
      </c>
      <c r="G10">
        <v>18.3</v>
      </c>
      <c r="H10" s="5">
        <v>1.49006622516556E-3</v>
      </c>
      <c r="I10" s="7">
        <v>0</v>
      </c>
      <c r="J10" s="13">
        <v>8.1871491797247196E-8</v>
      </c>
      <c r="K10" s="9">
        <v>0.37959182402495301</v>
      </c>
      <c r="L10" s="8">
        <f>E10/E$15</f>
        <v>4.6963562753036439E-2</v>
      </c>
      <c r="M10" s="8">
        <f>F10/F$15</f>
        <v>0.10767361665877187</v>
      </c>
      <c r="N10" s="8">
        <f>G10/G$15</f>
        <v>0.14817813765182186</v>
      </c>
      <c r="O10" s="8">
        <f>H10/H$15</f>
        <v>5.683844876618431E-2</v>
      </c>
      <c r="P10">
        <f>I10/I$15</f>
        <v>0</v>
      </c>
    </row>
    <row r="11" spans="1:17">
      <c r="A11" t="str">
        <f>IF(ISERR(FIND("=",Q11)),Q11,LEFT(Q11,FIND("=",Q11)))</f>
        <v>Network with selfloops removed:</v>
      </c>
      <c r="D11" t="s">
        <v>27</v>
      </c>
      <c r="E11">
        <v>5.8</v>
      </c>
      <c r="F11" s="5">
        <v>3.6281179138322002E-3</v>
      </c>
      <c r="G11">
        <v>18.3</v>
      </c>
      <c r="H11" s="5">
        <v>1.45161290322581E-3</v>
      </c>
      <c r="I11" s="7">
        <v>3</v>
      </c>
      <c r="J11" s="13">
        <v>1.91294642585269E-6</v>
      </c>
      <c r="K11" s="9">
        <v>0.37959182402495301</v>
      </c>
      <c r="L11" s="8">
        <f>E11/E$15</f>
        <v>4.6963562753036439E-2</v>
      </c>
      <c r="M11" s="8">
        <f>F11/F$15</f>
        <v>0.17823523846009845</v>
      </c>
      <c r="N11" s="8">
        <f>G11/G$15</f>
        <v>0.14817813765182186</v>
      </c>
      <c r="O11" s="8">
        <f>H11/H$15</f>
        <v>5.5371650088347539E-2</v>
      </c>
      <c r="P11" s="16">
        <f>I11/I$15</f>
        <v>0.27272727272727271</v>
      </c>
      <c r="Q11" s="3" t="s">
        <v>32</v>
      </c>
    </row>
    <row r="12" spans="1:17">
      <c r="A12" t="str">
        <f>IF(ISERR(FIND("=",Q12)),Q12,LEFT(Q12,FIND("=",Q12)))</f>
        <v>Non-selflinking links =</v>
      </c>
      <c r="B12">
        <f>VALUE(MID(Q12,FIND("=",Q12)+2,2))</f>
        <v>14</v>
      </c>
      <c r="D12" t="s">
        <v>51</v>
      </c>
      <c r="E12">
        <v>39.299999999999997</v>
      </c>
      <c r="F12" s="5">
        <v>9.1603053435114507E-3</v>
      </c>
      <c r="G12">
        <v>0</v>
      </c>
      <c r="H12">
        <v>0</v>
      </c>
      <c r="I12" s="7">
        <v>0</v>
      </c>
      <c r="J12" s="13">
        <v>8.3009934315257395E-5</v>
      </c>
      <c r="K12">
        <v>0</v>
      </c>
      <c r="L12" s="8">
        <f>E12/E$15</f>
        <v>0.31821862348178137</v>
      </c>
      <c r="M12" s="8">
        <f>F12/F$15</f>
        <v>0.45000996275326377</v>
      </c>
      <c r="N12" s="8">
        <f>G12/G$15</f>
        <v>0</v>
      </c>
      <c r="O12" s="8">
        <f>H12/H$15</f>
        <v>0</v>
      </c>
      <c r="P12">
        <f>I12/I$15</f>
        <v>0</v>
      </c>
      <c r="Q12" s="3" t="s">
        <v>67</v>
      </c>
    </row>
    <row r="13" spans="1:17">
      <c r="A13" t="str">
        <f>IF(ISERR(FIND("=",Q13)),Q13,LEFT(Q13,FIND("=",Q13)))</f>
        <v>Eco-connectance =</v>
      </c>
      <c r="B13">
        <f>VALUE(MID(Q13,FIND("=",Q13)+2,7))</f>
        <v>0.12726999999999999</v>
      </c>
      <c r="D13" t="s">
        <v>29</v>
      </c>
      <c r="E13">
        <v>0</v>
      </c>
      <c r="F13">
        <v>0</v>
      </c>
      <c r="G13">
        <v>29.5</v>
      </c>
      <c r="H13" s="5">
        <v>1.3559322033898299E-3</v>
      </c>
      <c r="I13" s="7">
        <v>0</v>
      </c>
      <c r="J13">
        <v>0</v>
      </c>
      <c r="K13" s="5">
        <v>1.25054511808838E-4</v>
      </c>
      <c r="L13" s="8">
        <f>E13/E$15</f>
        <v>0</v>
      </c>
      <c r="M13" s="8">
        <f>F13/F$15</f>
        <v>0</v>
      </c>
      <c r="N13" s="8">
        <f>G13/G$15</f>
        <v>0.23886639676113361</v>
      </c>
      <c r="O13" s="8">
        <f>H13/H$15</f>
        <v>5.1721917973296234E-2</v>
      </c>
      <c r="P13">
        <f>I13/I$15</f>
        <v>0</v>
      </c>
      <c r="Q13" s="3" t="s">
        <v>68</v>
      </c>
    </row>
    <row r="14" spans="1:17">
      <c r="A14" t="str">
        <f>IF(ISERR(FIND("=",Q14)),Q14,LEFT(Q14,FIND("=",Q14)))</f>
        <v>Directed graph is cyclic</v>
      </c>
      <c r="D14" t="s">
        <v>58</v>
      </c>
      <c r="E14">
        <v>0</v>
      </c>
      <c r="F14">
        <v>0</v>
      </c>
      <c r="G14">
        <v>4.0999999999999996</v>
      </c>
      <c r="H14" s="5">
        <v>2.4390243902438998E-3</v>
      </c>
      <c r="I14" s="7">
        <v>0</v>
      </c>
      <c r="J14">
        <v>0</v>
      </c>
      <c r="K14" s="13">
        <v>9.3957205681428502E-6</v>
      </c>
      <c r="L14" s="8">
        <f>E14/E$15</f>
        <v>0</v>
      </c>
      <c r="M14" s="8">
        <f>F14/F$15</f>
        <v>0</v>
      </c>
      <c r="N14" s="8">
        <f>G14/G$15</f>
        <v>3.3198380566801619E-2</v>
      </c>
      <c r="O14" s="8">
        <f>H14/H$15</f>
        <v>9.3036376842209625E-2</v>
      </c>
      <c r="P14">
        <f>I14/I$15</f>
        <v>0</v>
      </c>
      <c r="Q14" s="3" t="s">
        <v>53</v>
      </c>
    </row>
    <row r="15" spans="1:17">
      <c r="D15" s="10" t="s">
        <v>31</v>
      </c>
      <c r="E15" s="11">
        <f>SUM(E4:E14)</f>
        <v>123.5</v>
      </c>
      <c r="F15" s="12">
        <f>SUM(F4:F14)</f>
        <v>2.0355783430808086E-2</v>
      </c>
      <c r="G15" s="11">
        <f>SUM(G4:G14)</f>
        <v>123.5</v>
      </c>
      <c r="H15" s="12">
        <f>SUM(H4:H14)</f>
        <v>2.6215814426872007E-2</v>
      </c>
      <c r="I15" s="7">
        <f>SUM(I4:I14)</f>
        <v>11</v>
      </c>
      <c r="J15" s="7">
        <f>SUM(J4:J14)</f>
        <v>1.0000000000000002</v>
      </c>
      <c r="K15" s="7">
        <f>SUM(K4:K14)</f>
        <v>1.0000000000000007</v>
      </c>
      <c r="L15" s="11">
        <f>SUM(L4:L14)</f>
        <v>1.0000000000000002</v>
      </c>
      <c r="M15" s="11">
        <f>SUM(M4:M14)</f>
        <v>0.99999999999999989</v>
      </c>
      <c r="N15" s="11">
        <f>SUM(N4:N14)</f>
        <v>1</v>
      </c>
      <c r="O15" s="11">
        <f>SUM(O4:O14)</f>
        <v>0.99999999999999978</v>
      </c>
      <c r="P15" s="11">
        <f>SUM(P4:P14)</f>
        <v>1</v>
      </c>
    </row>
    <row r="16" spans="1:17">
      <c r="K16" s="17"/>
      <c r="L16" s="17"/>
      <c r="N16" s="17"/>
    </row>
    <row r="17" spans="1:17">
      <c r="A17" s="4" t="s">
        <v>35</v>
      </c>
      <c r="D17" t="s">
        <v>7</v>
      </c>
      <c r="E17" t="s">
        <v>8</v>
      </c>
      <c r="F17" t="s">
        <v>9</v>
      </c>
      <c r="G17" t="s">
        <v>10</v>
      </c>
      <c r="H17" t="s">
        <v>11</v>
      </c>
      <c r="I17" t="s">
        <v>12</v>
      </c>
      <c r="J17" t="s">
        <v>13</v>
      </c>
      <c r="K17" t="s">
        <v>14</v>
      </c>
      <c r="L17" t="s">
        <v>15</v>
      </c>
      <c r="M17" t="s">
        <v>16</v>
      </c>
      <c r="N17" t="s">
        <v>17</v>
      </c>
      <c r="O17" t="s">
        <v>18</v>
      </c>
      <c r="P17" t="s">
        <v>64</v>
      </c>
    </row>
    <row r="18" spans="1:17">
      <c r="A18" t="str">
        <f>IF(ISERR(FIND("=",Q18)),Q18,LEFT(Q18,FIND("=",Q18)))</f>
        <v>Network with any selfloops:</v>
      </c>
      <c r="D18" t="s">
        <v>51</v>
      </c>
      <c r="E18">
        <v>39.4</v>
      </c>
      <c r="F18" s="5">
        <v>6.2735257214554599E-3</v>
      </c>
      <c r="G18">
        <v>0</v>
      </c>
      <c r="H18">
        <v>0</v>
      </c>
      <c r="I18" s="7">
        <v>0</v>
      </c>
      <c r="J18" s="5">
        <v>1.27345372979634E-3</v>
      </c>
      <c r="K18">
        <v>0</v>
      </c>
      <c r="L18" s="8">
        <f>E18/E$31</f>
        <v>0.30853563038371179</v>
      </c>
      <c r="M18" s="8">
        <f>F18/F$31</f>
        <v>0.33599265793865429</v>
      </c>
      <c r="N18" s="8">
        <f>G18/G$31</f>
        <v>0</v>
      </c>
      <c r="O18" s="8">
        <f>H18/H$31</f>
        <v>0</v>
      </c>
      <c r="P18">
        <f>I18/I$31</f>
        <v>0</v>
      </c>
      <c r="Q18" s="3" t="s">
        <v>20</v>
      </c>
    </row>
    <row r="19" spans="1:17">
      <c r="A19" t="str">
        <f>IF(ISERR(FIND("=",Q19)),Q19,LEFT(Q19,FIND("=",Q19)))</f>
        <v>Plants =</v>
      </c>
      <c r="B19">
        <f>VALUE(MID(Q19,FIND("=",Q19)+2,2))</f>
        <v>13</v>
      </c>
      <c r="D19" t="s">
        <v>19</v>
      </c>
      <c r="E19">
        <v>23.1</v>
      </c>
      <c r="F19" s="5">
        <v>5.6458897922312596E-4</v>
      </c>
      <c r="G19">
        <v>3.9</v>
      </c>
      <c r="H19" s="5">
        <v>1.78062678062678E-3</v>
      </c>
      <c r="I19" s="7">
        <v>1</v>
      </c>
      <c r="J19" s="5">
        <v>1.69474963706673E-4</v>
      </c>
      <c r="K19" s="5">
        <v>1.0531710467584701E-4</v>
      </c>
      <c r="L19" s="8">
        <f>E19/E$31</f>
        <v>0.18089271730618639</v>
      </c>
      <c r="M19" s="8">
        <f>F19/F$31</f>
        <v>3.0237821632464724E-2</v>
      </c>
      <c r="N19" s="8">
        <f>G19/G$31</f>
        <v>3.054032889584965E-2</v>
      </c>
      <c r="O19" s="8">
        <f>H19/H$31</f>
        <v>9.011169965748482E-2</v>
      </c>
      <c r="P19" s="16">
        <f>I19/I$31</f>
        <v>0.14285714285714285</v>
      </c>
      <c r="Q19" s="3" t="s">
        <v>69</v>
      </c>
    </row>
    <row r="20" spans="1:17">
      <c r="A20" t="str">
        <f>IF(ISERR(FIND("=",Q20)),Q20,LEFT(Q20,FIND("=",Q20)))</f>
        <v>Links =</v>
      </c>
      <c r="B20">
        <f>VALUE(MID(Q20,FIND("=",Q20)+2,2))</f>
        <v>25</v>
      </c>
      <c r="D20" t="s">
        <v>21</v>
      </c>
      <c r="E20">
        <v>48.2</v>
      </c>
      <c r="F20" s="5">
        <v>1.5561780267662601E-3</v>
      </c>
      <c r="G20">
        <v>10.199999999999999</v>
      </c>
      <c r="H20" s="5">
        <v>6.8082788671024002E-4</v>
      </c>
      <c r="I20" s="7">
        <v>3</v>
      </c>
      <c r="J20" s="9">
        <v>0.97381952484255097</v>
      </c>
      <c r="K20" s="5">
        <v>2.7544473530605998E-4</v>
      </c>
      <c r="L20" s="8">
        <f>E20/E$31</f>
        <v>0.37744714173844951</v>
      </c>
      <c r="M20" s="8">
        <f>F20/F$31</f>
        <v>8.334458399536479E-2</v>
      </c>
      <c r="N20" s="8">
        <f>G20/G$31</f>
        <v>7.9874706342991389E-2</v>
      </c>
      <c r="O20" s="8">
        <f>H20/H$31</f>
        <v>3.4454473398450113E-2</v>
      </c>
      <c r="P20" s="16">
        <f>I20/I$31</f>
        <v>0.42857142857142855</v>
      </c>
      <c r="Q20" s="3" t="s">
        <v>70</v>
      </c>
    </row>
    <row r="21" spans="1:17">
      <c r="A21" t="str">
        <f>IF(ISERR(FIND("=",Q21)),Q21,LEFT(Q21,FIND("=",Q21)))</f>
        <v>Maximum number of links =</v>
      </c>
      <c r="B21">
        <f>VALUE(MID(Q21,FIND("=",Q21)+2,3))</f>
        <v>156</v>
      </c>
      <c r="D21" t="s">
        <v>37</v>
      </c>
      <c r="E21">
        <v>7.4</v>
      </c>
      <c r="F21" s="5">
        <v>3.7537537537537498E-3</v>
      </c>
      <c r="G21">
        <v>9.6999999999999993</v>
      </c>
      <c r="H21" s="5">
        <v>7.1592210767468505E-4</v>
      </c>
      <c r="I21" s="7">
        <v>1</v>
      </c>
      <c r="J21" s="13">
        <v>5.7095384597446199E-6</v>
      </c>
      <c r="K21" s="5">
        <v>2.6194254239890003E-4</v>
      </c>
      <c r="L21" s="8">
        <f>E21/E$31</f>
        <v>5.7948316366483947E-2</v>
      </c>
      <c r="M21" s="8">
        <f>F21/F$31</f>
        <v>0.20104065193476511</v>
      </c>
      <c r="N21" s="8">
        <f>G21/G$31</f>
        <v>7.5959279561472207E-2</v>
      </c>
      <c r="O21" s="8">
        <f>H21/H$31</f>
        <v>3.6230477181875359E-2</v>
      </c>
      <c r="P21" s="16">
        <f>I21/I$31</f>
        <v>0.14285714285714285</v>
      </c>
      <c r="Q21" s="3" t="s">
        <v>71</v>
      </c>
    </row>
    <row r="22" spans="1:17">
      <c r="A22" t="str">
        <f>IF(ISERR(FIND("=",Q22)),Q22,LEFT(Q22,FIND("=",Q22)))</f>
        <v>Graph density =</v>
      </c>
      <c r="B22">
        <f>VALUE(MID(Q22,FIND("=",Q22)+2,7))</f>
        <v>0.16026000000000001</v>
      </c>
      <c r="D22" t="s">
        <v>55</v>
      </c>
      <c r="E22">
        <v>0</v>
      </c>
      <c r="F22">
        <v>0</v>
      </c>
      <c r="G22">
        <v>8.1999999999999993</v>
      </c>
      <c r="H22" s="5">
        <v>8.4688346883468797E-4</v>
      </c>
      <c r="I22" s="7">
        <v>0</v>
      </c>
      <c r="J22">
        <v>0</v>
      </c>
      <c r="K22" s="5">
        <v>2.2143596367742101E-4</v>
      </c>
      <c r="L22" s="8">
        <f>E22/E$31</f>
        <v>0</v>
      </c>
      <c r="M22" s="8">
        <f>F22/F$31</f>
        <v>0</v>
      </c>
      <c r="N22" s="8">
        <f>G22/G$31</f>
        <v>6.4212999216914646E-2</v>
      </c>
      <c r="O22" s="8">
        <f>H22/H$31</f>
        <v>4.2858003495633019E-2</v>
      </c>
      <c r="P22">
        <f>I22/I$31</f>
        <v>0</v>
      </c>
      <c r="Q22" s="3" t="s">
        <v>72</v>
      </c>
    </row>
    <row r="23" spans="1:17">
      <c r="A23" t="str">
        <f>IF(ISERR(FIND("=",Q23)),Q23,LEFT(Q23,FIND("=",Q23)))</f>
        <v>Directed graph is cyclic</v>
      </c>
      <c r="D23" t="s">
        <v>25</v>
      </c>
      <c r="E23">
        <v>0</v>
      </c>
      <c r="F23">
        <v>0</v>
      </c>
      <c r="G23">
        <v>18.3</v>
      </c>
      <c r="H23" s="5">
        <v>5.9354226020892696E-4</v>
      </c>
      <c r="I23" s="7">
        <v>0</v>
      </c>
      <c r="J23">
        <v>0</v>
      </c>
      <c r="K23" s="9">
        <v>0.37790217448434898</v>
      </c>
      <c r="L23" s="8">
        <f>E23/E$31</f>
        <v>0</v>
      </c>
      <c r="M23" s="8">
        <f>F23/F$31</f>
        <v>0</v>
      </c>
      <c r="N23" s="8">
        <f>G23/G$31</f>
        <v>0.14330462020360221</v>
      </c>
      <c r="O23" s="8">
        <f>H23/H$31</f>
        <v>3.0037233219161623E-2</v>
      </c>
      <c r="P23">
        <f>I23/I$31</f>
        <v>0</v>
      </c>
      <c r="Q23" s="3" t="s">
        <v>53</v>
      </c>
    </row>
    <row r="24" spans="1:17">
      <c r="D24" t="s">
        <v>27</v>
      </c>
      <c r="E24">
        <v>6.6</v>
      </c>
      <c r="F24" s="5">
        <v>4.2087542087542104E-3</v>
      </c>
      <c r="G24">
        <v>18.3</v>
      </c>
      <c r="H24" s="5">
        <v>5.9354226020892696E-4</v>
      </c>
      <c r="I24" s="7">
        <v>1</v>
      </c>
      <c r="J24" s="9">
        <v>2.4727036501308499E-2</v>
      </c>
      <c r="K24" s="9">
        <v>0.37790217448434898</v>
      </c>
      <c r="L24" s="8">
        <f>E24/E$31</f>
        <v>5.1683633516053248E-2</v>
      </c>
      <c r="M24" s="8">
        <f>F24/F$31</f>
        <v>0.22540921580564605</v>
      </c>
      <c r="N24" s="8">
        <f>G24/G$31</f>
        <v>0.14330462020360221</v>
      </c>
      <c r="O24" s="8">
        <f>H24/H$31</f>
        <v>3.0037233219161623E-2</v>
      </c>
      <c r="P24" s="16">
        <f>I24/I$31</f>
        <v>0.14285714285714285</v>
      </c>
    </row>
    <row r="25" spans="1:17">
      <c r="A25" t="str">
        <f>IF(ISERR(FIND("=",Q25)),Q25,LEFT(Q25,FIND("=",Q25)))</f>
        <v>Network with selfloops removed:</v>
      </c>
      <c r="D25" t="s">
        <v>54</v>
      </c>
      <c r="E25">
        <v>0</v>
      </c>
      <c r="F25">
        <v>0</v>
      </c>
      <c r="G25">
        <v>10.1</v>
      </c>
      <c r="H25" s="5">
        <v>1.8768768768768799E-3</v>
      </c>
      <c r="I25" s="7">
        <v>0</v>
      </c>
      <c r="J25">
        <v>0</v>
      </c>
      <c r="K25" s="5">
        <v>2.7097415154605101E-3</v>
      </c>
      <c r="L25" s="8">
        <f>E25/E$31</f>
        <v>0</v>
      </c>
      <c r="M25" s="8">
        <f>F25/F$31</f>
        <v>0</v>
      </c>
      <c r="N25" s="8">
        <f>G25/G$31</f>
        <v>7.9091620986687552E-2</v>
      </c>
      <c r="O25" s="8">
        <f>H25/H$31</f>
        <v>9.4982602341673383E-2</v>
      </c>
      <c r="P25">
        <f>I25/I$31</f>
        <v>0</v>
      </c>
      <c r="Q25" s="3" t="s">
        <v>32</v>
      </c>
    </row>
    <row r="26" spans="1:17">
      <c r="A26" t="str">
        <f>IF(ISERR(FIND("=",Q26)),Q26,LEFT(Q26,FIND("=",Q26)))</f>
        <v>Non-selflinking links =</v>
      </c>
      <c r="B26">
        <f>VALUE(MID(Q26,FIND("=",Q26)+2,2))</f>
        <v>16</v>
      </c>
      <c r="D26" t="s">
        <v>23</v>
      </c>
      <c r="E26">
        <v>0</v>
      </c>
      <c r="F26">
        <v>0</v>
      </c>
      <c r="G26">
        <v>13.3</v>
      </c>
      <c r="H26" s="5">
        <v>1.78062678062678E-3</v>
      </c>
      <c r="I26" s="7">
        <v>0</v>
      </c>
      <c r="J26">
        <v>0</v>
      </c>
      <c r="K26" s="9">
        <v>0.240435944047445</v>
      </c>
      <c r="L26" s="8">
        <f>E26/E$31</f>
        <v>0</v>
      </c>
      <c r="M26" s="8">
        <f>F26/F$31</f>
        <v>0</v>
      </c>
      <c r="N26" s="8">
        <f>G26/G$31</f>
        <v>0.10415035238841035</v>
      </c>
      <c r="O26" s="8">
        <f>H26/H$31</f>
        <v>9.011169965748482E-2</v>
      </c>
      <c r="P26">
        <f>I26/I$31</f>
        <v>0</v>
      </c>
      <c r="Q26" s="3" t="s">
        <v>73</v>
      </c>
    </row>
    <row r="27" spans="1:17">
      <c r="A27" t="str">
        <f>IF(ISERR(FIND("=",Q27)),Q27,LEFT(Q27,FIND("=",Q27)))</f>
        <v>Eco-connectance =</v>
      </c>
      <c r="B27">
        <f>VALUE(MID(Q27,FIND("=",Q27)+2,7))</f>
        <v>0.10256</v>
      </c>
      <c r="D27" t="s">
        <v>29</v>
      </c>
      <c r="E27">
        <v>3</v>
      </c>
      <c r="F27" s="5">
        <v>2.3148148148148099E-3</v>
      </c>
      <c r="G27">
        <v>23.1</v>
      </c>
      <c r="H27" s="5">
        <v>5.5444666223109298E-4</v>
      </c>
      <c r="I27" s="7">
        <v>1</v>
      </c>
      <c r="J27" s="13">
        <v>4.8004241773696602E-6</v>
      </c>
      <c r="K27" s="5">
        <v>1.25214129160448E-4</v>
      </c>
      <c r="L27" s="8">
        <f>E27/E$31</f>
        <v>2.3492560689115111E-2</v>
      </c>
      <c r="M27" s="8">
        <f>F27/F$31</f>
        <v>0.12397506869310503</v>
      </c>
      <c r="N27" s="8">
        <f>G27/G$31</f>
        <v>0.18089271730618639</v>
      </c>
      <c r="O27" s="8">
        <f>H27/H$31</f>
        <v>2.8058732827480296E-2</v>
      </c>
      <c r="P27" s="16">
        <f>I27/I$31</f>
        <v>0.14285714285714285</v>
      </c>
      <c r="Q27" s="3" t="s">
        <v>74</v>
      </c>
    </row>
    <row r="28" spans="1:17">
      <c r="A28" t="str">
        <f>IF(ISERR(FIND("=",Q28)),Q28,LEFT(Q28,FIND("=",Q28)))</f>
        <v>Directed graph is acyclic</v>
      </c>
      <c r="D28" t="s">
        <v>58</v>
      </c>
      <c r="E28">
        <v>0</v>
      </c>
      <c r="F28">
        <v>0</v>
      </c>
      <c r="G28">
        <v>4</v>
      </c>
      <c r="H28" s="5">
        <v>2.0764119601328901E-3</v>
      </c>
      <c r="I28" s="7">
        <v>0</v>
      </c>
      <c r="J28">
        <v>0</v>
      </c>
      <c r="K28" s="13">
        <v>2.7309775335786299E-5</v>
      </c>
      <c r="L28" s="8">
        <f>E28/E$31</f>
        <v>0</v>
      </c>
      <c r="M28" s="8">
        <f>F28/F$31</f>
        <v>0</v>
      </c>
      <c r="N28" s="8">
        <f>G28/G$31</f>
        <v>3.1323414252153486E-2</v>
      </c>
      <c r="O28" s="8">
        <f>H28/H$31</f>
        <v>0.1050804205308212</v>
      </c>
      <c r="P28">
        <f>I28/I$31</f>
        <v>0</v>
      </c>
      <c r="Q28" s="3" t="s">
        <v>30</v>
      </c>
    </row>
    <row r="29" spans="1:17">
      <c r="D29" t="s">
        <v>41</v>
      </c>
      <c r="E29">
        <v>0</v>
      </c>
      <c r="F29">
        <v>0</v>
      </c>
      <c r="G29">
        <v>4.0999999999999996</v>
      </c>
      <c r="H29" s="5">
        <v>6.7750677506775098E-3</v>
      </c>
      <c r="I29" s="7">
        <v>0</v>
      </c>
      <c r="J29">
        <v>0</v>
      </c>
      <c r="K29" s="13">
        <v>3.2756380424452298E-5</v>
      </c>
      <c r="L29" s="8">
        <f>E29/E$31</f>
        <v>0</v>
      </c>
      <c r="M29" s="8">
        <f>F29/F$31</f>
        <v>0</v>
      </c>
      <c r="N29" s="8">
        <f>G29/G$31</f>
        <v>3.2106499608457323E-2</v>
      </c>
      <c r="O29" s="8">
        <f>H29/H$31</f>
        <v>0.34286402796506449</v>
      </c>
      <c r="P29">
        <f>I29/I$31</f>
        <v>0</v>
      </c>
    </row>
    <row r="30" spans="1:17">
      <c r="D30" t="s">
        <v>42</v>
      </c>
      <c r="E30">
        <v>0</v>
      </c>
      <c r="F30">
        <v>0</v>
      </c>
      <c r="G30">
        <v>4.5</v>
      </c>
      <c r="H30" s="5">
        <v>1.4854426619132499E-3</v>
      </c>
      <c r="I30" s="7">
        <v>0</v>
      </c>
      <c r="J30">
        <v>0</v>
      </c>
      <c r="K30" s="13">
        <v>5.4483741817568803E-7</v>
      </c>
      <c r="L30" s="8">
        <f>E30/E$31</f>
        <v>0</v>
      </c>
      <c r="M30" s="8">
        <f>F30/F$31</f>
        <v>0</v>
      </c>
      <c r="N30" s="8">
        <f>G30/G$31</f>
        <v>3.5238841033672676E-2</v>
      </c>
      <c r="O30" s="8">
        <f>H30/H$31</f>
        <v>7.5173396505709283E-2</v>
      </c>
      <c r="P30">
        <f>I30/I$31</f>
        <v>0</v>
      </c>
    </row>
    <row r="31" spans="1:17">
      <c r="D31" s="10" t="s">
        <v>31</v>
      </c>
      <c r="E31" s="11">
        <f>SUM(E18:E30)</f>
        <v>127.7</v>
      </c>
      <c r="F31" s="12">
        <f>SUM(F18:F30)</f>
        <v>1.8671615504767616E-2</v>
      </c>
      <c r="G31" s="11">
        <f>SUM(G18:G30)</f>
        <v>127.69999999999999</v>
      </c>
      <c r="H31" s="12">
        <f>SUM(H18:H30)</f>
        <v>1.9760217456722649E-2</v>
      </c>
      <c r="I31" s="11">
        <f>SUM(I18:I30)</f>
        <v>7</v>
      </c>
      <c r="J31" s="11">
        <f>SUM(J18:J30)</f>
        <v>0.99999999999999967</v>
      </c>
      <c r="K31" s="18">
        <f>SUM(K18:K30)</f>
        <v>1.0000000000000004</v>
      </c>
      <c r="L31" s="11">
        <f>SUM(L18:L30)</f>
        <v>0.99999999999999989</v>
      </c>
      <c r="M31" s="11">
        <f>SUM(M18:M30)</f>
        <v>0.99999999999999989</v>
      </c>
      <c r="N31" s="11">
        <f>SUM(N18:N30)</f>
        <v>1</v>
      </c>
      <c r="O31" s="11">
        <f>SUM(O18:O30)</f>
        <v>1</v>
      </c>
      <c r="P31" s="11">
        <f>SUM(P18:P30)</f>
        <v>0.99999999999999978</v>
      </c>
    </row>
    <row r="32" spans="1:17">
      <c r="K32" s="17"/>
      <c r="L32" s="17"/>
      <c r="N32" s="17"/>
    </row>
    <row r="33" spans="1:1" ht="15">
      <c r="A33" s="2" t="s">
        <v>45</v>
      </c>
    </row>
  </sheetData>
  <mergeCells count="3">
    <mergeCell ref="A1:B1"/>
    <mergeCell ref="D1:K1"/>
    <mergeCell ref="L1:P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33"/>
  <sheetViews>
    <sheetView zoomScaleNormal="100" workbookViewId="0">
      <selection activeCell="A3" sqref="A3"/>
    </sheetView>
  </sheetViews>
  <sheetFormatPr defaultColWidth="8.7109375" defaultRowHeight="13.9"/>
  <cols>
    <col min="1" max="1" width="24.85546875" customWidth="1"/>
    <col min="3" max="3" width="6.28515625" customWidth="1"/>
    <col min="4" max="16" width="9.7109375" customWidth="1"/>
    <col min="17" max="17" width="29.5703125" style="3" customWidth="1"/>
  </cols>
  <sheetData>
    <row r="1" spans="1:17">
      <c r="A1" s="1" t="s">
        <v>2</v>
      </c>
      <c r="B1" s="1"/>
      <c r="D1" s="1" t="s">
        <v>3</v>
      </c>
      <c r="E1" s="1"/>
      <c r="F1" s="1"/>
      <c r="G1" s="1"/>
      <c r="H1" s="1"/>
      <c r="I1" s="1"/>
      <c r="J1" s="1"/>
      <c r="K1" s="1"/>
      <c r="L1" s="1" t="s">
        <v>63</v>
      </c>
      <c r="M1" s="1"/>
      <c r="N1" s="1"/>
      <c r="O1" s="1"/>
      <c r="P1" s="1"/>
    </row>
    <row r="2" spans="1:17">
      <c r="A2" t="str">
        <f>IF(ISERR(FIND("=",Q2)),Q2,LEFT(Q2,FIND("=",Q2)))</f>
        <v>number of nodes =</v>
      </c>
      <c r="B2">
        <f>VALUE(MID(Q2,FIND("=",Q2)+2,2))</f>
        <v>14</v>
      </c>
      <c r="Q2" s="3" t="s">
        <v>5</v>
      </c>
    </row>
    <row r="3" spans="1:17">
      <c r="A3" s="4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64</v>
      </c>
    </row>
    <row r="4" spans="1:17">
      <c r="A4" t="str">
        <f>IF(ISERR(FIND("=",Q4)),Q4,LEFT(Q4,FIND("=",Q4)))</f>
        <v>Network with any selfloops:</v>
      </c>
      <c r="D4" t="s">
        <v>19</v>
      </c>
      <c r="E4">
        <v>1</v>
      </c>
      <c r="F4" s="5">
        <v>0.01</v>
      </c>
      <c r="G4">
        <v>1</v>
      </c>
      <c r="H4" s="15">
        <v>0.01</v>
      </c>
      <c r="I4" s="7">
        <v>0</v>
      </c>
      <c r="J4" s="5">
        <v>0.11883071359601199</v>
      </c>
      <c r="K4" s="13">
        <v>0.14706654983568301</v>
      </c>
      <c r="L4" s="8">
        <f>E4/E$15</f>
        <v>7.1428571428571425E-2</v>
      </c>
      <c r="M4" s="8">
        <f>F4/F$15</f>
        <v>5.9288537549407105E-2</v>
      </c>
      <c r="N4" s="8">
        <f>G4/G$15</f>
        <v>7.1428571428571425E-2</v>
      </c>
      <c r="O4" s="8">
        <f>H4/H$15</f>
        <v>5.9171597633136098E-2</v>
      </c>
      <c r="P4">
        <f>I4/I$15</f>
        <v>0</v>
      </c>
      <c r="Q4" s="3" t="s">
        <v>20</v>
      </c>
    </row>
    <row r="5" spans="1:17">
      <c r="A5" t="str">
        <f>IF(ISERR(FIND("=",Q5)),Q5,LEFT(Q5,FIND("=",Q5)))</f>
        <v>Plants =</v>
      </c>
      <c r="B5">
        <f>VALUE(MID(Q5,FIND("=",Q5)+2,2))</f>
        <v>11</v>
      </c>
      <c r="D5" t="s">
        <v>21</v>
      </c>
      <c r="E5">
        <v>3</v>
      </c>
      <c r="F5" s="5">
        <v>3.2000000000000001E-2</v>
      </c>
      <c r="G5">
        <v>3</v>
      </c>
      <c r="H5" s="5">
        <v>0.03</v>
      </c>
      <c r="I5" s="7">
        <v>8</v>
      </c>
      <c r="J5" s="9">
        <v>1.0544398940986101E-5</v>
      </c>
      <c r="K5" s="13">
        <v>5.3598191957353797E-2</v>
      </c>
      <c r="L5" s="8">
        <f>E5/E$15</f>
        <v>0.21428571428571427</v>
      </c>
      <c r="M5" s="8">
        <f>F5/F$15</f>
        <v>0.18972332015810275</v>
      </c>
      <c r="N5" s="8">
        <f>G5/G$15</f>
        <v>0.21428571428571427</v>
      </c>
      <c r="O5" s="8">
        <f>H5/H$15</f>
        <v>0.1775147928994083</v>
      </c>
      <c r="P5" s="16">
        <f>I5/I$15</f>
        <v>0.72727272727272729</v>
      </c>
      <c r="Q5" s="3" t="s">
        <v>48</v>
      </c>
    </row>
    <row r="6" spans="1:17">
      <c r="A6" t="str">
        <f>IF(ISERR(FIND("=",Q6)),Q6,LEFT(Q6,FIND("=",Q6)))</f>
        <v>Links =</v>
      </c>
      <c r="B6">
        <f>VALUE(MID(Q6,FIND("=",Q6)+2,2))</f>
        <v>24</v>
      </c>
      <c r="D6" t="s">
        <v>54</v>
      </c>
      <c r="E6">
        <v>0</v>
      </c>
      <c r="F6">
        <v>0</v>
      </c>
      <c r="G6">
        <v>2</v>
      </c>
      <c r="H6" s="5">
        <v>2.5000000000000001E-2</v>
      </c>
      <c r="I6" s="7">
        <v>0</v>
      </c>
      <c r="J6">
        <v>0</v>
      </c>
      <c r="K6" s="13">
        <v>0.183995547519617</v>
      </c>
      <c r="L6" s="8">
        <f>E6/E$15</f>
        <v>0</v>
      </c>
      <c r="M6" s="8">
        <f>F6/F$15</f>
        <v>0</v>
      </c>
      <c r="N6" s="8">
        <f>G6/G$15</f>
        <v>0.14285714285714285</v>
      </c>
      <c r="O6" s="8">
        <f>H6/H$15</f>
        <v>0.14792899408284027</v>
      </c>
      <c r="P6">
        <f>I6/I$15</f>
        <v>0</v>
      </c>
      <c r="Q6" s="3" t="s">
        <v>65</v>
      </c>
    </row>
    <row r="7" spans="1:17">
      <c r="A7" t="str">
        <f>IF(ISERR(FIND("=",Q7)),Q7,LEFT(Q7,FIND("=",Q7)))</f>
        <v>Maximum number of links =</v>
      </c>
      <c r="B7">
        <f>VALUE(MID(Q7,FIND("=",Q7)+2,3))</f>
        <v>110</v>
      </c>
      <c r="D7" t="s">
        <v>37</v>
      </c>
      <c r="E7">
        <v>0</v>
      </c>
      <c r="F7">
        <v>0</v>
      </c>
      <c r="G7">
        <v>1</v>
      </c>
      <c r="H7" s="5">
        <v>0.01</v>
      </c>
      <c r="I7" s="7">
        <v>0</v>
      </c>
      <c r="J7">
        <v>0</v>
      </c>
      <c r="K7" s="13">
        <v>0.14706654983568301</v>
      </c>
      <c r="L7" s="8">
        <f>E7/E$15</f>
        <v>0</v>
      </c>
      <c r="M7" s="8">
        <f>F7/F$15</f>
        <v>0</v>
      </c>
      <c r="N7" s="8">
        <f>G7/G$15</f>
        <v>7.1428571428571425E-2</v>
      </c>
      <c r="O7" s="8">
        <f>H7/H$15</f>
        <v>5.9171597633136098E-2</v>
      </c>
      <c r="P7">
        <f>I7/I$15</f>
        <v>0</v>
      </c>
      <c r="Q7" s="3" t="s">
        <v>50</v>
      </c>
    </row>
    <row r="8" spans="1:17">
      <c r="A8" t="str">
        <f>IF(ISERR(FIND("=",Q8)),Q8,LEFT(Q8,FIND("=",Q8)))</f>
        <v>Graph density =</v>
      </c>
      <c r="B8">
        <f>VALUE(MID(Q8,FIND("=",Q8)+2,7))</f>
        <v>0.21818000000000001</v>
      </c>
      <c r="D8" t="s">
        <v>55</v>
      </c>
      <c r="E8">
        <v>0</v>
      </c>
      <c r="F8">
        <v>0</v>
      </c>
      <c r="G8">
        <v>1</v>
      </c>
      <c r="H8" s="5">
        <v>0.01</v>
      </c>
      <c r="I8" s="7">
        <v>0</v>
      </c>
      <c r="J8">
        <v>0</v>
      </c>
      <c r="K8" s="13">
        <v>0.14706654983568301</v>
      </c>
      <c r="L8" s="8">
        <f>E8/E$15</f>
        <v>0</v>
      </c>
      <c r="M8" s="8">
        <f>F8/F$15</f>
        <v>0</v>
      </c>
      <c r="N8" s="8">
        <f>G8/G$15</f>
        <v>7.1428571428571425E-2</v>
      </c>
      <c r="O8" s="8">
        <f>H8/H$15</f>
        <v>5.9171597633136098E-2</v>
      </c>
      <c r="P8">
        <f>I8/I$15</f>
        <v>0</v>
      </c>
      <c r="Q8" s="3" t="s">
        <v>66</v>
      </c>
    </row>
    <row r="9" spans="1:17">
      <c r="A9" t="str">
        <f>IF(ISERR(FIND("=",Q9)),Q9,LEFT(Q9,FIND("=",Q9)))</f>
        <v>Directed graph is cyclic</v>
      </c>
      <c r="D9" t="s">
        <v>23</v>
      </c>
      <c r="E9">
        <v>1</v>
      </c>
      <c r="F9" s="5">
        <v>0.02</v>
      </c>
      <c r="G9">
        <v>1</v>
      </c>
      <c r="H9" s="5">
        <v>1.7999999999999999E-2</v>
      </c>
      <c r="I9" s="7">
        <v>0</v>
      </c>
      <c r="J9" s="19">
        <v>3.6577893192951398E-2</v>
      </c>
      <c r="K9" s="9">
        <v>5.15029406361763E-6</v>
      </c>
      <c r="L9" s="8">
        <f>E9/E$15</f>
        <v>7.1428571428571425E-2</v>
      </c>
      <c r="M9" s="8">
        <f>F9/F$15</f>
        <v>0.11857707509881421</v>
      </c>
      <c r="N9" s="8">
        <f>G9/G$15</f>
        <v>7.1428571428571425E-2</v>
      </c>
      <c r="O9" s="8">
        <f>H9/H$15</f>
        <v>0.10650887573964497</v>
      </c>
      <c r="P9">
        <f>I9/I$15</f>
        <v>0</v>
      </c>
      <c r="Q9" s="3" t="s">
        <v>53</v>
      </c>
    </row>
    <row r="10" spans="1:17">
      <c r="D10" t="s">
        <v>25</v>
      </c>
      <c r="E10">
        <v>1</v>
      </c>
      <c r="F10" s="5">
        <v>0.02</v>
      </c>
      <c r="G10">
        <v>1</v>
      </c>
      <c r="H10" s="5">
        <v>1.7999999999999999E-2</v>
      </c>
      <c r="I10" s="7">
        <v>0</v>
      </c>
      <c r="J10" s="19">
        <v>3.6577893192951398E-2</v>
      </c>
      <c r="K10" s="9">
        <v>5.15029406361763E-6</v>
      </c>
      <c r="L10" s="8">
        <f>E10/E$15</f>
        <v>7.1428571428571425E-2</v>
      </c>
      <c r="M10" s="8">
        <f>F10/F$15</f>
        <v>0.11857707509881421</v>
      </c>
      <c r="N10" s="8">
        <f>G10/G$15</f>
        <v>7.1428571428571425E-2</v>
      </c>
      <c r="O10" s="8">
        <f>H10/H$15</f>
        <v>0.10650887573964497</v>
      </c>
      <c r="P10">
        <f>I10/I$15</f>
        <v>0</v>
      </c>
    </row>
    <row r="11" spans="1:17">
      <c r="A11" t="str">
        <f>IF(ISERR(FIND("=",Q11)),Q11,LEFT(Q11,FIND("=",Q11)))</f>
        <v>Network with selfloops removed:</v>
      </c>
      <c r="D11" t="s">
        <v>27</v>
      </c>
      <c r="E11">
        <v>2</v>
      </c>
      <c r="F11" s="5">
        <v>2.66666666666667E-2</v>
      </c>
      <c r="G11">
        <v>1</v>
      </c>
      <c r="H11" s="5">
        <v>1.7999999999999999E-2</v>
      </c>
      <c r="I11" s="7">
        <v>3</v>
      </c>
      <c r="J11" s="19">
        <v>0.16214499236872501</v>
      </c>
      <c r="K11" s="9">
        <v>5.15029406361763E-6</v>
      </c>
      <c r="L11" s="8">
        <f>E11/E$15</f>
        <v>0.14285714285714285</v>
      </c>
      <c r="M11" s="8">
        <f>F11/F$15</f>
        <v>0.15810276679841914</v>
      </c>
      <c r="N11" s="8">
        <f>G11/G$15</f>
        <v>7.1428571428571425E-2</v>
      </c>
      <c r="O11" s="8">
        <f>H11/H$15</f>
        <v>0.10650887573964497</v>
      </c>
      <c r="P11" s="16">
        <f>I11/I$15</f>
        <v>0.27272727272727271</v>
      </c>
      <c r="Q11" s="3" t="s">
        <v>32</v>
      </c>
    </row>
    <row r="12" spans="1:17">
      <c r="A12" t="str">
        <f>IF(ISERR(FIND("=",Q12)),Q12,LEFT(Q12,FIND("=",Q12)))</f>
        <v>Non-selflinking links =</v>
      </c>
      <c r="B12">
        <f>VALUE(MID(Q12,FIND("=",Q12)+2,2))</f>
        <v>14</v>
      </c>
      <c r="D12" t="s">
        <v>51</v>
      </c>
      <c r="E12">
        <v>6</v>
      </c>
      <c r="F12" s="5">
        <v>0.06</v>
      </c>
      <c r="G12">
        <v>0</v>
      </c>
      <c r="H12">
        <v>0</v>
      </c>
      <c r="I12" s="7">
        <v>0</v>
      </c>
      <c r="J12" s="19">
        <v>0.645857963250419</v>
      </c>
      <c r="K12">
        <v>0</v>
      </c>
      <c r="L12" s="8">
        <f>E12/E$15</f>
        <v>0.42857142857142855</v>
      </c>
      <c r="M12" s="8">
        <f>F12/F$15</f>
        <v>0.35573122529644263</v>
      </c>
      <c r="N12" s="8">
        <f>G12/G$15</f>
        <v>0</v>
      </c>
      <c r="O12" s="8">
        <f>H12/H$15</f>
        <v>0</v>
      </c>
      <c r="P12">
        <f>I12/I$15</f>
        <v>0</v>
      </c>
      <c r="Q12" s="3" t="s">
        <v>67</v>
      </c>
    </row>
    <row r="13" spans="1:17">
      <c r="A13" t="str">
        <f>IF(ISERR(FIND("=",Q13)),Q13,LEFT(Q13,FIND("=",Q13)))</f>
        <v>Eco-connectance =</v>
      </c>
      <c r="B13">
        <f>VALUE(MID(Q13,FIND("=",Q13)+2,7))</f>
        <v>0.12726999999999999</v>
      </c>
      <c r="D13" t="s">
        <v>29</v>
      </c>
      <c r="E13">
        <v>0</v>
      </c>
      <c r="F13">
        <v>0</v>
      </c>
      <c r="G13">
        <v>2</v>
      </c>
      <c r="H13" s="5">
        <v>0.02</v>
      </c>
      <c r="I13" s="7">
        <v>0</v>
      </c>
      <c r="J13">
        <v>0</v>
      </c>
      <c r="K13" s="5">
        <v>0.174124610298105</v>
      </c>
      <c r="L13" s="8">
        <f>E13/E$15</f>
        <v>0</v>
      </c>
      <c r="M13" s="8">
        <f>F13/F$15</f>
        <v>0</v>
      </c>
      <c r="N13" s="8">
        <f>G13/G$15</f>
        <v>0.14285714285714285</v>
      </c>
      <c r="O13" s="8">
        <f>H13/H$15</f>
        <v>0.1183431952662722</v>
      </c>
      <c r="P13">
        <f>I13/I$15</f>
        <v>0</v>
      </c>
      <c r="Q13" s="3" t="s">
        <v>68</v>
      </c>
    </row>
    <row r="14" spans="1:17">
      <c r="A14" t="str">
        <f>IF(ISERR(FIND("=",Q14)),Q14,LEFT(Q14,FIND("=",Q14)))</f>
        <v>Directed graph is cyclic</v>
      </c>
      <c r="D14" t="s">
        <v>58</v>
      </c>
      <c r="E14">
        <v>0</v>
      </c>
      <c r="F14">
        <v>0</v>
      </c>
      <c r="G14">
        <v>1</v>
      </c>
      <c r="H14" s="5">
        <v>0.01</v>
      </c>
      <c r="I14" s="7">
        <v>0</v>
      </c>
      <c r="J14">
        <v>0</v>
      </c>
      <c r="K14" s="13">
        <v>0.14706654983568301</v>
      </c>
      <c r="L14" s="8">
        <f>E14/E$15</f>
        <v>0</v>
      </c>
      <c r="M14" s="8">
        <f>F14/F$15</f>
        <v>0</v>
      </c>
      <c r="N14" s="8">
        <f>G14/G$15</f>
        <v>7.1428571428571425E-2</v>
      </c>
      <c r="O14" s="8">
        <f>H14/H$15</f>
        <v>5.9171597633136098E-2</v>
      </c>
      <c r="P14">
        <f>I14/I$15</f>
        <v>0</v>
      </c>
      <c r="Q14" s="3" t="s">
        <v>53</v>
      </c>
    </row>
    <row r="15" spans="1:17">
      <c r="D15" s="10" t="s">
        <v>31</v>
      </c>
      <c r="E15" s="11">
        <f>SUM(E4:E14)</f>
        <v>14</v>
      </c>
      <c r="F15" s="12">
        <f>SUM(F4:F14)</f>
        <v>0.16866666666666669</v>
      </c>
      <c r="G15" s="11">
        <f>SUM(G4:G14)</f>
        <v>14</v>
      </c>
      <c r="H15" s="12">
        <f>SUM(H4:H14)</f>
        <v>0.16899999999999998</v>
      </c>
      <c r="I15" s="7">
        <f>SUM(I4:I14)</f>
        <v>11</v>
      </c>
      <c r="J15" s="7">
        <f>SUM(J4:J14)</f>
        <v>0.99999999999999978</v>
      </c>
      <c r="K15" s="7">
        <f>SUM(K4:K14)</f>
        <v>0.99999999999999889</v>
      </c>
      <c r="L15" s="11">
        <f>SUM(L4:L14)</f>
        <v>1</v>
      </c>
      <c r="M15" s="11">
        <f>SUM(M4:M14)</f>
        <v>1</v>
      </c>
      <c r="N15" s="11">
        <f>SUM(N4:N14)</f>
        <v>0.99999999999999978</v>
      </c>
      <c r="O15" s="11">
        <f>SUM(O4:O14)</f>
        <v>1.0000000000000002</v>
      </c>
      <c r="P15" s="11">
        <f>SUM(P4:P14)</f>
        <v>1</v>
      </c>
    </row>
    <row r="16" spans="1:17">
      <c r="K16" s="17"/>
      <c r="L16" s="17"/>
      <c r="N16" s="17"/>
    </row>
    <row r="17" spans="1:17">
      <c r="A17" s="4" t="s">
        <v>35</v>
      </c>
      <c r="D17" t="s">
        <v>7</v>
      </c>
      <c r="E17" t="s">
        <v>8</v>
      </c>
      <c r="F17" t="s">
        <v>9</v>
      </c>
      <c r="G17" t="s">
        <v>10</v>
      </c>
      <c r="H17" t="s">
        <v>11</v>
      </c>
      <c r="I17" t="s">
        <v>12</v>
      </c>
      <c r="J17" t="s">
        <v>13</v>
      </c>
      <c r="K17" t="s">
        <v>14</v>
      </c>
      <c r="L17" t="s">
        <v>15</v>
      </c>
      <c r="M17" t="s">
        <v>16</v>
      </c>
      <c r="N17" t="s">
        <v>17</v>
      </c>
      <c r="O17" t="s">
        <v>18</v>
      </c>
      <c r="P17" t="s">
        <v>64</v>
      </c>
    </row>
    <row r="18" spans="1:17">
      <c r="A18" t="str">
        <f>IF(ISERR(FIND("=",Q18)),Q18,LEFT(Q18,FIND("=",Q18)))</f>
        <v>Network with any selfloops:</v>
      </c>
      <c r="D18" t="s">
        <v>51</v>
      </c>
      <c r="E18">
        <v>7</v>
      </c>
      <c r="F18" s="5">
        <v>5.8823529411764698E-2</v>
      </c>
      <c r="G18">
        <v>0</v>
      </c>
      <c r="H18">
        <v>0</v>
      </c>
      <c r="I18" s="7">
        <v>0</v>
      </c>
      <c r="J18" s="5">
        <v>0.63905589185490197</v>
      </c>
      <c r="K18">
        <v>0</v>
      </c>
      <c r="L18" s="8">
        <f>E18/E$31</f>
        <v>0.4375</v>
      </c>
      <c r="M18" s="8">
        <f>F18/F$31</f>
        <v>0.47048573295578305</v>
      </c>
      <c r="N18" s="8">
        <f>G18/G$31</f>
        <v>0</v>
      </c>
      <c r="O18" s="8">
        <f>H18/H$31</f>
        <v>0</v>
      </c>
      <c r="P18">
        <f>I18/I$31</f>
        <v>0</v>
      </c>
      <c r="Q18" s="3" t="s">
        <v>20</v>
      </c>
    </row>
    <row r="19" spans="1:17">
      <c r="A19" t="str">
        <f>IF(ISERR(FIND("=",Q19)),Q19,LEFT(Q19,FIND("=",Q19)))</f>
        <v>Plants =</v>
      </c>
      <c r="B19">
        <f>VALUE(MID(Q19,FIND("=",Q19)+2,2))</f>
        <v>13</v>
      </c>
      <c r="D19" t="s">
        <v>19</v>
      </c>
      <c r="E19">
        <v>1</v>
      </c>
      <c r="F19" s="5">
        <v>9.2592592592592605E-3</v>
      </c>
      <c r="G19">
        <v>1</v>
      </c>
      <c r="H19" s="5">
        <v>6.9444444444444397E-3</v>
      </c>
      <c r="I19" s="7">
        <v>1</v>
      </c>
      <c r="J19" s="5">
        <v>1.3592483805735901E-11</v>
      </c>
      <c r="K19" s="5">
        <v>0.124711763688181</v>
      </c>
      <c r="L19" s="8">
        <f>E19/E$31</f>
        <v>6.25E-2</v>
      </c>
      <c r="M19" s="8">
        <f>F19/F$31</f>
        <v>7.4057939446743645E-2</v>
      </c>
      <c r="N19" s="8">
        <f>G19/G$31</f>
        <v>6.25E-2</v>
      </c>
      <c r="O19" s="8">
        <f>H19/H$31</f>
        <v>5.5299539170506881E-2</v>
      </c>
      <c r="P19" s="16">
        <f>I19/I$31</f>
        <v>0.14285714285714285</v>
      </c>
      <c r="Q19" s="3" t="s">
        <v>69</v>
      </c>
    </row>
    <row r="20" spans="1:17">
      <c r="A20" t="str">
        <f>IF(ISERR(FIND("=",Q20)),Q20,LEFT(Q20,FIND("=",Q20)))</f>
        <v>Links =</v>
      </c>
      <c r="B20">
        <f>VALUE(MID(Q20,FIND("=",Q20)+2,2))</f>
        <v>25</v>
      </c>
      <c r="D20" t="s">
        <v>21</v>
      </c>
      <c r="E20">
        <v>3</v>
      </c>
      <c r="F20" s="5">
        <v>2.2222222222222199E-2</v>
      </c>
      <c r="G20">
        <v>1</v>
      </c>
      <c r="H20" s="5">
        <v>6.9444444444444397E-3</v>
      </c>
      <c r="I20" s="7">
        <v>3</v>
      </c>
      <c r="J20" s="9">
        <v>2.6704514969902001E-2</v>
      </c>
      <c r="K20" s="5">
        <v>0.124711763688181</v>
      </c>
      <c r="L20" s="8">
        <f>E20/E$31</f>
        <v>0.1875</v>
      </c>
      <c r="M20" s="8">
        <f>F20/F$31</f>
        <v>0.17773905467218454</v>
      </c>
      <c r="N20" s="8">
        <f>G20/G$31</f>
        <v>6.25E-2</v>
      </c>
      <c r="O20" s="8">
        <f>H20/H$31</f>
        <v>5.5299539170506881E-2</v>
      </c>
      <c r="P20" s="16">
        <f>I20/I$31</f>
        <v>0.42857142857142855</v>
      </c>
      <c r="Q20" s="3" t="s">
        <v>70</v>
      </c>
    </row>
    <row r="21" spans="1:17">
      <c r="A21" t="str">
        <f>IF(ISERR(FIND("=",Q21)),Q21,LEFT(Q21,FIND("=",Q21)))</f>
        <v>Maximum number of links =</v>
      </c>
      <c r="B21">
        <f>VALUE(MID(Q21,FIND("=",Q21)+2,3))</f>
        <v>156</v>
      </c>
      <c r="D21" t="s">
        <v>37</v>
      </c>
      <c r="E21">
        <v>2</v>
      </c>
      <c r="F21" s="5">
        <v>1.38888888888889E-2</v>
      </c>
      <c r="G21">
        <v>1</v>
      </c>
      <c r="H21" s="5">
        <v>6.9444444444444397E-3</v>
      </c>
      <c r="I21" s="7">
        <v>1</v>
      </c>
      <c r="J21" s="13">
        <v>0.115705412769619</v>
      </c>
      <c r="K21" s="5">
        <v>0.124711763688181</v>
      </c>
      <c r="L21" s="8">
        <f>E21/E$31</f>
        <v>0.125</v>
      </c>
      <c r="M21" s="8">
        <f>F21/F$31</f>
        <v>0.11108690917011554</v>
      </c>
      <c r="N21" s="8">
        <f>G21/G$31</f>
        <v>6.25E-2</v>
      </c>
      <c r="O21" s="8">
        <f>H21/H$31</f>
        <v>5.5299539170506881E-2</v>
      </c>
      <c r="P21" s="16">
        <f>I21/I$31</f>
        <v>0.14285714285714285</v>
      </c>
      <c r="Q21" s="3" t="s">
        <v>71</v>
      </c>
    </row>
    <row r="22" spans="1:17">
      <c r="A22" t="str">
        <f>IF(ISERR(FIND("=",Q22)),Q22,LEFT(Q22,FIND("=",Q22)))</f>
        <v>Graph density =</v>
      </c>
      <c r="B22">
        <f>VALUE(MID(Q22,FIND("=",Q22)+2,7))</f>
        <v>0.16026000000000001</v>
      </c>
      <c r="D22" t="s">
        <v>55</v>
      </c>
      <c r="E22">
        <v>0</v>
      </c>
      <c r="F22">
        <v>0</v>
      </c>
      <c r="G22">
        <v>1</v>
      </c>
      <c r="H22" s="5">
        <v>6.9444444444444397E-3</v>
      </c>
      <c r="I22" s="7">
        <v>0</v>
      </c>
      <c r="J22">
        <v>0</v>
      </c>
      <c r="K22" s="5">
        <v>0.124711763688181</v>
      </c>
      <c r="L22" s="8">
        <f>E22/E$31</f>
        <v>0</v>
      </c>
      <c r="M22" s="8">
        <f>F22/F$31</f>
        <v>0</v>
      </c>
      <c r="N22" s="8">
        <f>G22/G$31</f>
        <v>6.25E-2</v>
      </c>
      <c r="O22" s="8">
        <f>H22/H$31</f>
        <v>5.5299539170506881E-2</v>
      </c>
      <c r="P22">
        <f>I22/I$31</f>
        <v>0</v>
      </c>
      <c r="Q22" s="3" t="s">
        <v>72</v>
      </c>
    </row>
    <row r="23" spans="1:17">
      <c r="A23" t="str">
        <f>IF(ISERR(FIND("=",Q23)),Q23,LEFT(Q23,FIND("=",Q23)))</f>
        <v>Directed graph is cyclic</v>
      </c>
      <c r="D23" t="s">
        <v>25</v>
      </c>
      <c r="E23">
        <v>0</v>
      </c>
      <c r="F23">
        <v>0</v>
      </c>
      <c r="G23">
        <v>1</v>
      </c>
      <c r="H23" s="5">
        <v>9.2592592592592605E-3</v>
      </c>
      <c r="I23" s="7">
        <v>0</v>
      </c>
      <c r="J23">
        <v>0</v>
      </c>
      <c r="K23" s="9">
        <v>5.2234025464544401E-3</v>
      </c>
      <c r="L23" s="8">
        <f>E23/E$31</f>
        <v>0</v>
      </c>
      <c r="M23" s="8">
        <f>F23/F$31</f>
        <v>0</v>
      </c>
      <c r="N23" s="8">
        <f>G23/G$31</f>
        <v>6.25E-2</v>
      </c>
      <c r="O23" s="8">
        <f>H23/H$31</f>
        <v>7.373271889400923E-2</v>
      </c>
      <c r="P23">
        <f>I23/I$31</f>
        <v>0</v>
      </c>
      <c r="Q23" s="3" t="s">
        <v>53</v>
      </c>
    </row>
    <row r="24" spans="1:17">
      <c r="D24" t="s">
        <v>27</v>
      </c>
      <c r="E24">
        <v>2</v>
      </c>
      <c r="F24" s="5">
        <v>1.38888888888889E-2</v>
      </c>
      <c r="G24">
        <v>1</v>
      </c>
      <c r="H24" s="5">
        <v>9.2592592592592605E-3</v>
      </c>
      <c r="I24" s="7">
        <v>1</v>
      </c>
      <c r="J24" s="9">
        <v>0.12056586119189699</v>
      </c>
      <c r="K24" s="9">
        <v>5.2234025464544401E-3</v>
      </c>
      <c r="L24" s="8">
        <f>E24/E$31</f>
        <v>0.125</v>
      </c>
      <c r="M24" s="8">
        <f>F24/F$31</f>
        <v>0.11108690917011554</v>
      </c>
      <c r="N24" s="8">
        <f>G24/G$31</f>
        <v>6.25E-2</v>
      </c>
      <c r="O24" s="8">
        <f>H24/H$31</f>
        <v>7.373271889400923E-2</v>
      </c>
      <c r="P24" s="16">
        <f>I24/I$31</f>
        <v>0.14285714285714285</v>
      </c>
    </row>
    <row r="25" spans="1:17">
      <c r="A25" t="str">
        <f>IF(ISERR(FIND("=",Q25)),Q25,LEFT(Q25,FIND("=",Q25)))</f>
        <v>Network with selfloops removed:</v>
      </c>
      <c r="D25" t="s">
        <v>54</v>
      </c>
      <c r="E25">
        <v>0</v>
      </c>
      <c r="F25">
        <v>0</v>
      </c>
      <c r="G25">
        <v>2</v>
      </c>
      <c r="H25" s="5">
        <v>1.5625E-2</v>
      </c>
      <c r="I25" s="7">
        <v>0</v>
      </c>
      <c r="J25">
        <v>0</v>
      </c>
      <c r="K25" s="5">
        <v>0.14824717301684201</v>
      </c>
      <c r="L25" s="8">
        <f>E25/E$31</f>
        <v>0</v>
      </c>
      <c r="M25" s="8">
        <f>F25/F$31</f>
        <v>0</v>
      </c>
      <c r="N25" s="8">
        <f>G25/G$31</f>
        <v>0.125</v>
      </c>
      <c r="O25" s="8">
        <f>H25/H$31</f>
        <v>0.12442396313364057</v>
      </c>
      <c r="P25">
        <f>I25/I$31</f>
        <v>0</v>
      </c>
      <c r="Q25" s="3" t="s">
        <v>32</v>
      </c>
    </row>
    <row r="26" spans="1:17">
      <c r="A26" t="str">
        <f>IF(ISERR(FIND("=",Q26)),Q26,LEFT(Q26,FIND("=",Q26)))</f>
        <v>Non-selflinking links =</v>
      </c>
      <c r="B26">
        <f>VALUE(MID(Q26,FIND("=",Q26)+2,2))</f>
        <v>16</v>
      </c>
      <c r="D26" t="s">
        <v>23</v>
      </c>
      <c r="E26">
        <v>0</v>
      </c>
      <c r="F26">
        <v>0</v>
      </c>
      <c r="G26">
        <v>2</v>
      </c>
      <c r="H26" s="5">
        <v>1.5625E-2</v>
      </c>
      <c r="I26" s="7">
        <v>0</v>
      </c>
      <c r="J26">
        <v>0</v>
      </c>
      <c r="K26" s="9">
        <v>2.8758811875115899E-2</v>
      </c>
      <c r="L26" s="8">
        <f>E26/E$31</f>
        <v>0</v>
      </c>
      <c r="M26" s="8">
        <f>F26/F$31</f>
        <v>0</v>
      </c>
      <c r="N26" s="8">
        <f>G26/G$31</f>
        <v>0.125</v>
      </c>
      <c r="O26" s="8">
        <f>H26/H$31</f>
        <v>0.12442396313364057</v>
      </c>
      <c r="P26">
        <f>I26/I$31</f>
        <v>0</v>
      </c>
      <c r="Q26" s="3" t="s">
        <v>73</v>
      </c>
    </row>
    <row r="27" spans="1:17">
      <c r="A27" t="str">
        <f>IF(ISERR(FIND("=",Q27)),Q27,LEFT(Q27,FIND("=",Q27)))</f>
        <v>Eco-connectance =</v>
      </c>
      <c r="B27">
        <f>VALUE(MID(Q27,FIND("=",Q27)+2,7))</f>
        <v>0.10256</v>
      </c>
      <c r="D27" t="s">
        <v>29</v>
      </c>
      <c r="E27">
        <v>1</v>
      </c>
      <c r="F27" s="5">
        <v>6.9444444444444397E-3</v>
      </c>
      <c r="G27">
        <v>1</v>
      </c>
      <c r="H27" s="5">
        <v>9.2592592592592605E-3</v>
      </c>
      <c r="I27" s="7">
        <v>1</v>
      </c>
      <c r="J27" s="13">
        <v>9.7968319200088E-2</v>
      </c>
      <c r="K27" s="5">
        <v>1.9955491209347299E-11</v>
      </c>
      <c r="L27" s="8">
        <f>E27/E$31</f>
        <v>6.25E-2</v>
      </c>
      <c r="M27" s="8">
        <f>F27/F$31</f>
        <v>5.5543454585057689E-2</v>
      </c>
      <c r="N27" s="8">
        <f>G27/G$31</f>
        <v>6.25E-2</v>
      </c>
      <c r="O27" s="8">
        <f>H27/H$31</f>
        <v>7.373271889400923E-2</v>
      </c>
      <c r="P27" s="16">
        <f>I27/I$31</f>
        <v>0.14285714285714285</v>
      </c>
      <c r="Q27" s="3" t="s">
        <v>74</v>
      </c>
    </row>
    <row r="28" spans="1:17">
      <c r="A28" t="str">
        <f>IF(ISERR(FIND("=",Q28)),Q28,LEFT(Q28,FIND("=",Q28)))</f>
        <v>Directed graph is acyclic</v>
      </c>
      <c r="D28" t="s">
        <v>58</v>
      </c>
      <c r="E28">
        <v>0</v>
      </c>
      <c r="F28">
        <v>0</v>
      </c>
      <c r="G28">
        <v>2</v>
      </c>
      <c r="H28" s="5">
        <v>1.5625E-2</v>
      </c>
      <c r="I28" s="7">
        <v>0</v>
      </c>
      <c r="J28">
        <v>0</v>
      </c>
      <c r="K28" s="13">
        <v>0.14382992545975201</v>
      </c>
      <c r="L28" s="8">
        <f>E28/E$31</f>
        <v>0</v>
      </c>
      <c r="M28" s="8">
        <f>F28/F$31</f>
        <v>0</v>
      </c>
      <c r="N28" s="8">
        <f>G28/G$31</f>
        <v>0.125</v>
      </c>
      <c r="O28" s="8">
        <f>H28/H$31</f>
        <v>0.12442396313364057</v>
      </c>
      <c r="P28">
        <f>I28/I$31</f>
        <v>0</v>
      </c>
      <c r="Q28" s="3" t="s">
        <v>30</v>
      </c>
    </row>
    <row r="29" spans="1:17">
      <c r="D29" t="s">
        <v>41</v>
      </c>
      <c r="E29">
        <v>0</v>
      </c>
      <c r="F29">
        <v>0</v>
      </c>
      <c r="G29">
        <v>2</v>
      </c>
      <c r="H29" s="5">
        <v>1.38888888888889E-2</v>
      </c>
      <c r="I29" s="7">
        <v>0</v>
      </c>
      <c r="J29">
        <v>0</v>
      </c>
      <c r="K29" s="13">
        <v>0.14729099673544199</v>
      </c>
      <c r="L29" s="8">
        <f>E29/E$31</f>
        <v>0</v>
      </c>
      <c r="M29" s="8">
        <f>F29/F$31</f>
        <v>0</v>
      </c>
      <c r="N29" s="8">
        <f>G29/G$31</f>
        <v>0.125</v>
      </c>
      <c r="O29" s="8">
        <f>H29/H$31</f>
        <v>0.11059907834101393</v>
      </c>
      <c r="P29">
        <f>I29/I$31</f>
        <v>0</v>
      </c>
    </row>
    <row r="30" spans="1:17">
      <c r="D30" t="s">
        <v>42</v>
      </c>
      <c r="E30">
        <v>0</v>
      </c>
      <c r="F30">
        <v>0</v>
      </c>
      <c r="G30">
        <v>1</v>
      </c>
      <c r="H30" s="5">
        <v>9.2592592592592605E-3</v>
      </c>
      <c r="I30" s="7">
        <v>0</v>
      </c>
      <c r="J30">
        <v>0</v>
      </c>
      <c r="K30" s="13">
        <v>2.2579233047261001E-2</v>
      </c>
      <c r="L30" s="8">
        <f>E30/E$31</f>
        <v>0</v>
      </c>
      <c r="M30" s="8">
        <f>F30/F$31</f>
        <v>0</v>
      </c>
      <c r="N30" s="8">
        <f>G30/G$31</f>
        <v>6.25E-2</v>
      </c>
      <c r="O30" s="8">
        <f>H30/H$31</f>
        <v>7.373271889400923E-2</v>
      </c>
      <c r="P30">
        <f>I30/I$31</f>
        <v>0</v>
      </c>
    </row>
    <row r="31" spans="1:17">
      <c r="D31" s="10" t="s">
        <v>31</v>
      </c>
      <c r="E31" s="11">
        <f>SUM(E18:E30)</f>
        <v>16</v>
      </c>
      <c r="F31" s="12">
        <f>SUM(F18:F30)</f>
        <v>0.1250272331154684</v>
      </c>
      <c r="G31" s="11">
        <f>SUM(G18:G30)</f>
        <v>16</v>
      </c>
      <c r="H31" s="12">
        <f>SUM(H18:H30)</f>
        <v>0.12557870370370369</v>
      </c>
      <c r="I31" s="11">
        <f>SUM(I18:I30)</f>
        <v>7</v>
      </c>
      <c r="J31" s="11">
        <f>SUM(J18:J30)</f>
        <v>1.0000000000000004</v>
      </c>
      <c r="K31" s="18">
        <f>SUM(K18:K30)</f>
        <v>1.0000000000000013</v>
      </c>
      <c r="L31" s="11">
        <f>SUM(L18:L30)</f>
        <v>1</v>
      </c>
      <c r="M31" s="11">
        <f>SUM(M18:M30)</f>
        <v>1</v>
      </c>
      <c r="N31" s="11">
        <f>SUM(N18:N30)</f>
        <v>1</v>
      </c>
      <c r="O31" s="11">
        <f>SUM(O18:O30)</f>
        <v>1</v>
      </c>
      <c r="P31" s="11">
        <f>SUM(P18:P30)</f>
        <v>0.99999999999999978</v>
      </c>
    </row>
    <row r="32" spans="1:17">
      <c r="K32" s="17"/>
      <c r="L32" s="17"/>
      <c r="N32" s="17"/>
    </row>
    <row r="33" spans="1:1" ht="15">
      <c r="A33" s="2" t="s">
        <v>45</v>
      </c>
    </row>
  </sheetData>
  <mergeCells count="3">
    <mergeCell ref="A1:B1"/>
    <mergeCell ref="D1:K1"/>
    <mergeCell ref="L1:P1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Janes</dc:creator>
  <cp:keywords/>
  <dc:description/>
  <cp:lastModifiedBy>David Janes</cp:lastModifiedBy>
  <cp:revision>32</cp:revision>
  <dcterms:created xsi:type="dcterms:W3CDTF">2015-06-05T18:17:20Z</dcterms:created>
  <dcterms:modified xsi:type="dcterms:W3CDTF">2024-10-11T11:39:58Z</dcterms:modified>
  <cp:category/>
  <cp:contentStatus/>
</cp:coreProperties>
</file>